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raiwitchpawadee/Personal/Software_Engineer/My_Thesis/Smart_Factory/ข้อมูลอุณหภูมิการหลอม/"/>
    </mc:Choice>
  </mc:AlternateContent>
  <xr:revisionPtr revIDLastSave="0" documentId="13_ncr:1_{9B7B7AC4-6774-F54D-98F6-B0CE2D572488}" xr6:coauthVersionLast="47" xr6:coauthVersionMax="47" xr10:uidLastSave="{00000000-0000-0000-0000-000000000000}"/>
  <bookViews>
    <workbookView xWindow="34560" yWindow="-2180" windowWidth="38400" windowHeight="21100" firstSheet="2" activeTab="4" xr2:uid="{57C28893-B3E6-F648-9CA3-6BE475E4D95F}"/>
  </bookViews>
  <sheets>
    <sheet name="450_1" sheetId="1" r:id="rId1"/>
    <sheet name="450_2" sheetId="4" r:id="rId2"/>
    <sheet name="450_3" sheetId="5" r:id="rId3"/>
    <sheet name="450_4" sheetId="6" r:id="rId4"/>
    <sheet name="Summary" sheetId="2" r:id="rId5"/>
    <sheet name="450_5" sheetId="9" r:id="rId6"/>
    <sheet name="450_6" sheetId="10" r:id="rId7"/>
    <sheet name="475_1" sheetId="11" r:id="rId8"/>
    <sheet name="475_2" sheetId="12" r:id="rId9"/>
    <sheet name="500_1" sheetId="3" r:id="rId10"/>
    <sheet name="500_2" sheetId="13" r:id="rId11"/>
    <sheet name="500_3" sheetId="14" r:id="rId12"/>
    <sheet name="500_4" sheetId="15" r:id="rId13"/>
    <sheet name="500_5" sheetId="16" r:id="rId14"/>
    <sheet name="550_1" sheetId="7" r:id="rId15"/>
    <sheet name="550_2" sheetId="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2" l="1"/>
  <c r="G3" i="16"/>
  <c r="G3" i="15"/>
  <c r="F5" i="2"/>
  <c r="F6" i="2"/>
  <c r="F7" i="2"/>
  <c r="F8" i="2"/>
  <c r="F9" i="2"/>
  <c r="F10" i="2"/>
  <c r="F11" i="2"/>
  <c r="B17" i="2"/>
  <c r="B16" i="2"/>
  <c r="B15" i="2"/>
</calcChain>
</file>

<file path=xl/sharedStrings.xml><?xml version="1.0" encoding="utf-8"?>
<sst xmlns="http://schemas.openxmlformats.org/spreadsheetml/2006/main" count="414" uniqueCount="50">
  <si>
    <t>เวลา (นาที)</t>
  </si>
  <si>
    <t>อุณหภูมิที่วัดได้ (°C)</t>
  </si>
  <si>
    <t>หมายเหตุ</t>
  </si>
  <si>
    <t>100 kW</t>
  </si>
  <si>
    <t>200 kW</t>
  </si>
  <si>
    <t>300 kW</t>
  </si>
  <si>
    <t>350 kW</t>
  </si>
  <si>
    <t>450 kW</t>
  </si>
  <si>
    <t>เติม SCRAP 40 kg</t>
  </si>
  <si>
    <t>อุณหภูมิถึงเป้าหมาย 950°C</t>
  </si>
  <si>
    <t>เติมขึ้กลึง</t>
  </si>
  <si>
    <t>กำลังไฟ (kW)</t>
  </si>
  <si>
    <t>Energy consumption for Batch 1: 572.0 kWh
Energy consumption per batch: 1144.0 kWh/ton</t>
  </si>
  <si>
    <t>Date</t>
  </si>
  <si>
    <t>Start</t>
  </si>
  <si>
    <t>End</t>
  </si>
  <si>
    <t>Energy consumption for Batch 1: 545.0 kWh
Energy consumption per batch: 1090.0 kWh/ton</t>
  </si>
  <si>
    <t>Energy consumption for Batch 1: 547.0 kWh
Energy consumption per batch: 1094.0 kWh/ton</t>
  </si>
  <si>
    <t>เติมขึ้กลึง78kg</t>
  </si>
  <si>
    <t>kg</t>
  </si>
  <si>
    <t>Pure ingot</t>
  </si>
  <si>
    <t>SILOCON</t>
  </si>
  <si>
    <t>Fe</t>
  </si>
  <si>
    <t>Scrap</t>
  </si>
  <si>
    <t>ขี้กลึง</t>
  </si>
  <si>
    <t>เติม SCRAP</t>
  </si>
  <si>
    <t>Energy consumption for Batch 1: 602.0 kWh
Energy consumption per batch: 1204.0 kWh/ton</t>
  </si>
  <si>
    <t>Energy consumption for Batch 1: 604.0 kWh
Energy consumption per batch: 1208.0 kWh/ton</t>
  </si>
  <si>
    <t>Energy consumption for Batch 1: 593.0 kWh
Energy consumption per batch: 1186.0 kWh/ton</t>
  </si>
  <si>
    <t>Max Energy</t>
  </si>
  <si>
    <t>Energy Consumption (kWh)</t>
  </si>
  <si>
    <t>Duration (min)</t>
  </si>
  <si>
    <t>Efficiency(kWh/min)</t>
  </si>
  <si>
    <t>2. ปรับเป็น 500 KW วัดจริงได้ 449 Kw</t>
  </si>
  <si>
    <t>1. ปรับ Variac 450 KW วัดจริงได้  444 Kw</t>
  </si>
  <si>
    <t>3. ปรับ 550 Kw วัดจริงได้ 457 KW</t>
  </si>
  <si>
    <t>หมายเลข</t>
  </si>
  <si>
    <t>Control A  Furnace A</t>
  </si>
  <si>
    <t>เติม SILICON</t>
  </si>
  <si>
    <t>Energy consumption for Batch 1: 613.0 kWh
Energy consumption per batch: 1226.0 kWh/ton</t>
  </si>
  <si>
    <t>MAX KW from meter</t>
  </si>
  <si>
    <t>kW</t>
  </si>
  <si>
    <t>Energy consumption for Batch 1: 584.0 kWh
Energy consumption per batch: 1168.0 kWh/ton</t>
  </si>
  <si>
    <t>Cold start</t>
  </si>
  <si>
    <t>Energy consumption for Batch 1: 585.0 kWh
Energy consumption per batch: 1170.0 kWh/ton</t>
  </si>
  <si>
    <t>Energy consumption for Batch 1: 614.0 kWh
Energy consumption per batch: 1228.0 kWh/ton</t>
  </si>
  <si>
    <t>Energy consumption for Batch 1: 576.0 kWh
Energy consumption per batch: 1152.0 kWh/ton</t>
  </si>
  <si>
    <t>1.5 hrs from last batch</t>
  </si>
  <si>
    <t>Energy consumption for Batch 1: 579.0 kWh
Energy consumption per batch: 1158.0 kWh/ton</t>
  </si>
  <si>
    <t>1.5 hrs from last batch before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</si>
</sst>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20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1" fontId="0" fillId="0" borderId="0" xfId="1" applyNumberFormat="1" applyFont="1"/>
    <xf numFmtId="0" fontId="3" fillId="0" borderId="1" xfId="2" applyBorder="1"/>
    <xf numFmtId="0" fontId="0" fillId="4" borderId="6" xfId="0" applyFill="1" applyBorder="1"/>
    <xf numFmtId="0" fontId="0" fillId="0" borderId="6" xfId="0" applyBorder="1"/>
    <xf numFmtId="0" fontId="0" fillId="4" borderId="5" xfId="0" applyFill="1" applyBorder="1"/>
    <xf numFmtId="0" fontId="0" fillId="0" borderId="5" xfId="0" applyBorder="1"/>
    <xf numFmtId="1" fontId="0" fillId="4" borderId="5" xfId="1" applyNumberFormat="1" applyFont="1" applyFill="1" applyBorder="1"/>
    <xf numFmtId="1" fontId="0" fillId="0" borderId="5" xfId="1" applyNumberFormat="1" applyFont="1" applyBorder="1"/>
    <xf numFmtId="0" fontId="4" fillId="3" borderId="7" xfId="0" applyFont="1" applyFill="1" applyBorder="1"/>
    <xf numFmtId="0" fontId="4" fillId="3" borderId="8" xfId="0" applyFont="1" applyFill="1" applyBorder="1"/>
    <xf numFmtId="0" fontId="0" fillId="0" borderId="9" xfId="0" applyBorder="1"/>
    <xf numFmtId="1" fontId="0" fillId="0" borderId="9" xfId="1" applyNumberFormat="1" applyFont="1" applyBorder="1"/>
    <xf numFmtId="0" fontId="0" fillId="4" borderId="9" xfId="0" applyFill="1" applyBorder="1"/>
    <xf numFmtId="1" fontId="0" fillId="4" borderId="9" xfId="1" applyNumberFormat="1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wrapText="1"/>
    </xf>
  </cellXfs>
  <cellStyles count="3">
    <cellStyle name="Comma" xfId="1" builtinId="3"/>
    <cellStyle name="Hyperlink" xfId="2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>
        <c:manualLayout>
          <c:layoutTarget val="inner"/>
          <c:xMode val="edge"/>
          <c:yMode val="edge"/>
          <c:x val="0.11731053955950881"/>
          <c:y val="0.12930310471397119"/>
          <c:w val="0.84279428600153838"/>
          <c:h val="0.73741597976225581"/>
        </c:manualLayout>
      </c:layout>
      <c:scatterChart>
        <c:scatterStyle val="lineMarker"/>
        <c:varyColors val="0"/>
        <c:ser>
          <c:idx val="0"/>
          <c:order val="0"/>
          <c:tx>
            <c:v>Energy Consumption VS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63447D6-02CE-324B-8BDF-B871DEC60B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A95-FE42-8B7E-ED75ABAF7C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2990B5C-2493-8F4E-A661-C7E5166FE5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A95-FE42-8B7E-ED75ABAF7C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02DCAAC-C02C-074A-AFAB-17B034C261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A95-FE42-8B7E-ED75ABAF7C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64171E6-5F3B-7848-A804-EDA8B30FEF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A95-FE42-8B7E-ED75ABAF7C3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4FF1234-66CA-634E-998E-AE978A798E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A95-FE42-8B7E-ED75ABAF7C3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EB89B0D-2090-6E49-A667-C3EC5F7261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A95-FE42-8B7E-ED75ABAF7C3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5A2DE4C-EFFD-E34B-A7D6-AF56FCEEDF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A95-FE42-8B7E-ED75ABAF7C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Summary!$E$5:$E$11</c:f>
              <c:numCache>
                <c:formatCode>General</c:formatCode>
                <c:ptCount val="7"/>
                <c:pt idx="0">
                  <c:v>91</c:v>
                </c:pt>
                <c:pt idx="1">
                  <c:v>95</c:v>
                </c:pt>
                <c:pt idx="2">
                  <c:v>95</c:v>
                </c:pt>
                <c:pt idx="3">
                  <c:v>94</c:v>
                </c:pt>
                <c:pt idx="4">
                  <c:v>84</c:v>
                </c:pt>
                <c:pt idx="5">
                  <c:v>86</c:v>
                </c:pt>
                <c:pt idx="6">
                  <c:v>88</c:v>
                </c:pt>
              </c:numCache>
            </c:numRef>
          </c:xVal>
          <c:yVal>
            <c:numRef>
              <c:f>Summary!$D$5:$D$11</c:f>
              <c:numCache>
                <c:formatCode>0</c:formatCode>
                <c:ptCount val="7"/>
                <c:pt idx="0">
                  <c:v>572</c:v>
                </c:pt>
                <c:pt idx="1">
                  <c:v>602</c:v>
                </c:pt>
                <c:pt idx="2">
                  <c:v>604</c:v>
                </c:pt>
                <c:pt idx="3">
                  <c:v>593</c:v>
                </c:pt>
                <c:pt idx="4">
                  <c:v>545</c:v>
                </c:pt>
                <c:pt idx="5">
                  <c:v>547</c:v>
                </c:pt>
                <c:pt idx="6">
                  <c:v>547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Summary!$C$5:$C$11</c15:f>
                <c15:dlblRangeCache>
                  <c:ptCount val="7"/>
                  <c:pt idx="0">
                    <c:v>450</c:v>
                  </c:pt>
                  <c:pt idx="1">
                    <c:v>450</c:v>
                  </c:pt>
                  <c:pt idx="2">
                    <c:v>450</c:v>
                  </c:pt>
                  <c:pt idx="3">
                    <c:v>450</c:v>
                  </c:pt>
                  <c:pt idx="4">
                    <c:v>500</c:v>
                  </c:pt>
                  <c:pt idx="5">
                    <c:v>550</c:v>
                  </c:pt>
                  <c:pt idx="6">
                    <c:v>550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EA95-FE42-8B7E-ED75ABAF7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166112"/>
        <c:axId val="1956957248"/>
      </c:scatterChart>
      <c:valAx>
        <c:axId val="114716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956957248"/>
        <c:crosses val="autoZero"/>
        <c:crossBetween val="midCat"/>
      </c:valAx>
      <c:valAx>
        <c:axId val="195695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</a:t>
                </a:r>
                <a:r>
                  <a:rPr lang="en-US" baseline="0"/>
                  <a:t> Consumption (kWh)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4716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Energy Consumption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A280187-4443-9846-B8EB-3A3D1C1990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236-DB42-8CE7-E5F2B59767B6}"/>
                </c:ext>
              </c:extLst>
            </c:dLbl>
            <c:dLbl>
              <c:idx val="1"/>
              <c:layout>
                <c:manualLayout>
                  <c:x val="-4.4444444444444543E-2"/>
                  <c:y val="4.1666666666666664E-2"/>
                </c:manualLayout>
              </c:layout>
              <c:tx>
                <c:rich>
                  <a:bodyPr/>
                  <a:lstStyle/>
                  <a:p>
                    <a:fld id="{659BA581-FC6D-314F-B7FA-EB2B3E9BA5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8236-DB42-8CE7-E5F2B59767B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3E2E65D-5E92-704E-9CCA-87989719DE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236-DB42-8CE7-E5F2B59767B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78E4589-7EE0-1E42-966A-51B8D8E2DC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236-DB42-8CE7-E5F2B59767B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F40C181-38B4-834E-928A-49F0F51724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236-DB42-8CE7-E5F2B59767B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01C9A27-B557-D044-9BB4-A7296FF868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236-DB42-8CE7-E5F2B59767B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C403A48-D134-2B4E-AB8E-AB721F5468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236-DB42-8CE7-E5F2B59767B6}"/>
                </c:ext>
              </c:extLst>
            </c:dLbl>
            <c:dLbl>
              <c:idx val="7"/>
              <c:layout>
                <c:manualLayout>
                  <c:x val="-4.7222222222222221E-2"/>
                  <c:y val="4.1666666666666664E-2"/>
                </c:manualLayout>
              </c:layout>
              <c:tx>
                <c:rich>
                  <a:bodyPr/>
                  <a:lstStyle/>
                  <a:p>
                    <a:fld id="{427E854B-72DC-7142-83FE-DC518DE4A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8236-DB42-8CE7-E5F2B59767B6}"/>
                </c:ext>
              </c:extLst>
            </c:dLbl>
            <c:dLbl>
              <c:idx val="8"/>
              <c:layout>
                <c:manualLayout>
                  <c:x val="-4.4444444444444446E-2"/>
                  <c:y val="4.1666666666666664E-2"/>
                </c:manualLayout>
              </c:layout>
              <c:tx>
                <c:rich>
                  <a:bodyPr/>
                  <a:lstStyle/>
                  <a:p>
                    <a:fld id="{6CCC9994-A44C-5A46-B39F-C14E68F43E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8236-DB42-8CE7-E5F2B59767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Summary!$E$42:$E$50</c:f>
              <c:numCache>
                <c:formatCode>General</c:formatCode>
                <c:ptCount val="9"/>
                <c:pt idx="0">
                  <c:v>94</c:v>
                </c:pt>
                <c:pt idx="1">
                  <c:v>92</c:v>
                </c:pt>
                <c:pt idx="2">
                  <c:v>88</c:v>
                </c:pt>
                <c:pt idx="3">
                  <c:v>94</c:v>
                </c:pt>
                <c:pt idx="4">
                  <c:v>90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86</c:v>
                </c:pt>
              </c:numCache>
            </c:numRef>
          </c:xVal>
          <c:yVal>
            <c:numRef>
              <c:f>Summary!$D$42:$D$50</c:f>
              <c:numCache>
                <c:formatCode>0</c:formatCode>
                <c:ptCount val="9"/>
                <c:pt idx="0">
                  <c:v>593</c:v>
                </c:pt>
                <c:pt idx="1">
                  <c:v>614</c:v>
                </c:pt>
                <c:pt idx="2">
                  <c:v>576</c:v>
                </c:pt>
                <c:pt idx="3">
                  <c:v>613</c:v>
                </c:pt>
                <c:pt idx="4">
                  <c:v>579</c:v>
                </c:pt>
                <c:pt idx="5">
                  <c:v>585</c:v>
                </c:pt>
                <c:pt idx="6">
                  <c:v>585</c:v>
                </c:pt>
                <c:pt idx="7">
                  <c:v>576</c:v>
                </c:pt>
                <c:pt idx="8">
                  <c:v>576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Summary!$C$42:$C$50</c15:f>
                <c15:dlblRangeCache>
                  <c:ptCount val="9"/>
                  <c:pt idx="0">
                    <c:v>450</c:v>
                  </c:pt>
                  <c:pt idx="1">
                    <c:v>450</c:v>
                  </c:pt>
                  <c:pt idx="2">
                    <c:v>450</c:v>
                  </c:pt>
                  <c:pt idx="3">
                    <c:v>475</c:v>
                  </c:pt>
                  <c:pt idx="4">
                    <c:v>475</c:v>
                  </c:pt>
                  <c:pt idx="5">
                    <c:v>500</c:v>
                  </c:pt>
                  <c:pt idx="6">
                    <c:v>500</c:v>
                  </c:pt>
                  <c:pt idx="7">
                    <c:v>500</c:v>
                  </c:pt>
                  <c:pt idx="8">
                    <c:v>500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236-DB42-8CE7-E5F2B5976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099328"/>
        <c:axId val="1919546352"/>
      </c:scatterChart>
      <c:valAx>
        <c:axId val="1463099328"/>
        <c:scaling>
          <c:orientation val="minMax"/>
          <c:max val="100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919546352"/>
        <c:crosses val="autoZero"/>
        <c:crossBetween val="midCat"/>
      </c:valAx>
      <c:valAx>
        <c:axId val="19195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Energy Consumption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46309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742691</xdr:colOff>
      <xdr:row>2</xdr:row>
      <xdr:rowOff>148538</xdr:rowOff>
    </xdr:from>
    <xdr:to>
      <xdr:col>12</xdr:col>
      <xdr:colOff>445616</xdr:colOff>
      <xdr:row>20</xdr:row>
      <xdr:rowOff>22284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37568-5B04-74DA-EAC0-4A7771775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770169</xdr:colOff>
      <xdr:row>37</xdr:row>
      <xdr:rowOff>54365</xdr:rowOff>
    </xdr:from>
    <xdr:to>
      <xdr:col>12</xdr:col>
      <xdr:colOff>395854</xdr:colOff>
      <xdr:row>50</xdr:row>
      <xdr:rowOff>190723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6F9637-C89A-A71D-1B75-8B16A6ED3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20934</xdr:colOff>
      <xdr:row>39</xdr:row>
      <xdr:rowOff>118626</xdr:rowOff>
    </xdr:from>
    <xdr:to>
      <xdr:col>11</xdr:col>
      <xdr:colOff>314011</xdr:colOff>
      <xdr:row>41</xdr:row>
      <xdr:rowOff>167473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41CC27B-AAE5-9734-0AFD-62A17F3C80F5}"/>
            </a:ext>
          </a:extLst>
        </xdr:cNvPr>
        <xdr:cNvSpPr/>
      </xdr:nvSpPr>
      <xdr:spPr>
        <a:xfrm>
          <a:off x="9029560" y="8010769"/>
          <a:ext cx="1116484" cy="45357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76758</xdr:colOff>
      <xdr:row>38</xdr:row>
      <xdr:rowOff>97691</xdr:rowOff>
    </xdr:from>
    <xdr:to>
      <xdr:col>11</xdr:col>
      <xdr:colOff>823406</xdr:colOff>
      <xdr:row>39</xdr:row>
      <xdr:rowOff>139559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A66890-FC75-F764-B12D-AE593049BC9E}"/>
            </a:ext>
          </a:extLst>
        </xdr:cNvPr>
        <xdr:cNvSpPr txBox="1"/>
      </xdr:nvSpPr>
      <xdr:spPr>
        <a:xfrm>
          <a:off x="9908791" y="7787471"/>
          <a:ext cx="746648" cy="2442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Cold</a:t>
          </a:r>
          <a:r>
            <a:rPr lang="en-US" sz="1100" baseline="0"/>
            <a:t> Start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2F3DA-A9F3-E349-AB54-FF1433A096DC}" name="Table1" displayName="Table1" ref="C4:F11" totalsRowShown="0">
  <autoFilter ref="C4:F11" xr:uid="{51D2F3DA-A9F3-E349-AB54-FF1433A096DC}"/>
  <tableColumns count="4">
    <tableColumn id="1" xr3:uid="{7B2AD67E-EA9B-784F-B0F2-B6C69D50BB5D}" name="Max Energy"/>
    <tableColumn id="2" xr3:uid="{EB6ACC2D-1C5D-4C45-8676-BA8E19DF0ADE}" name="Energy Consumption (kWh)" dataDxfId="15" dataCellStyle="Comma"/>
    <tableColumn id="3" xr3:uid="{12193CA5-21F8-C844-A3CE-1BF413AD76CD}" name="Duration (min)"/>
    <tableColumn id="4" xr3:uid="{52E68177-BF05-DF40-B952-8B530C7C11F9}" name="Efficiency(kWh/min)" dataDxfId="14">
      <calculatedColumnFormula>Table1[[#This Row],[Energy Consumption (kWh)]]/Table1[[#This Row],[Duration (min)]]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21C5BE-1BF9-204C-A753-04461B572CBC}" name="Table2" displayName="Table2" ref="C41:E50" totalsRowShown="0" headerRowDxfId="13" headerRowBorderDxfId="12" tableBorderDxfId="11" totalsRowBorderDxfId="10">
  <autoFilter ref="C41:E50" xr:uid="{9D21C5BE-1BF9-204C-A753-04461B572CBC}"/>
  <tableColumns count="3">
    <tableColumn id="1" xr3:uid="{D9EDDA79-F907-054E-B035-4E834D7C2C12}" name="Max Energy" dataDxfId="9"/>
    <tableColumn id="2" xr3:uid="{CAE48568-5824-844C-A2F6-8BA8DF24BDDE}" name="Energy Consumption (kWh)" dataDxfId="8" dataCellStyle="Comma"/>
    <tableColumn id="3" xr3:uid="{AFCA0175-BCE0-D243-A7D4-9C68B28090A3}" name="Duration (min)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8E3B3-C263-7246-919F-3DF9144C4072}" name="Table3" displayName="Table3" ref="C21:E34" totalsRowShown="0" headerRowDxfId="6" headerRowBorderDxfId="5" tableBorderDxfId="4" totalsRowBorderDxfId="3">
  <autoFilter ref="C21:E34" xr:uid="{F538E3B3-C263-7246-919F-3DF9144C4072}"/>
  <tableColumns count="3">
    <tableColumn id="1" xr3:uid="{68EBF821-FD8B-C84F-8AA9-17A1BB1A8C50}" name="Max Energy" dataDxfId="2"/>
    <tableColumn id="2" xr3:uid="{0D3FFA15-32E6-1A47-BDB3-CF03DFC67F75}" name="Energy Consumption (kWh)" dataDxfId="1" dataCellStyle="Comma"/>
    <tableColumn id="3" xr3:uid="{0F4CB6F1-B5CE-4A48-B7F0-A0AC1AF6164E}" name="Duration (min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B42B-4750-0844-BC97-856C433C9364}">
  <sheetPr codeName="Sheet1"/>
  <dimension ref="A1:G60"/>
  <sheetViews>
    <sheetView zoomScale="183" workbookViewId="0">
      <selection activeCell="C8" sqref="C8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</cols>
  <sheetData>
    <row r="1" spans="1:7" x14ac:dyDescent="0.2">
      <c r="A1" t="s">
        <v>13</v>
      </c>
      <c r="B1" s="5">
        <v>45932</v>
      </c>
      <c r="D1" s="29" t="s">
        <v>12</v>
      </c>
    </row>
    <row r="2" spans="1:7" x14ac:dyDescent="0.2">
      <c r="A2" t="s">
        <v>14</v>
      </c>
      <c r="B2" s="1">
        <v>0.375</v>
      </c>
      <c r="D2" s="29"/>
    </row>
    <row r="3" spans="1:7" x14ac:dyDescent="0.2">
      <c r="A3" t="s">
        <v>15</v>
      </c>
      <c r="B3" s="1">
        <v>0.4375</v>
      </c>
      <c r="D3" s="29"/>
    </row>
    <row r="4" spans="1:7" ht="16" customHeight="1" x14ac:dyDescent="0.2">
      <c r="A4" t="s">
        <v>20</v>
      </c>
      <c r="B4" s="10">
        <v>360</v>
      </c>
      <c r="C4" t="s">
        <v>19</v>
      </c>
      <c r="D4" s="29"/>
    </row>
    <row r="5" spans="1:7" x14ac:dyDescent="0.2">
      <c r="A5" t="s">
        <v>21</v>
      </c>
      <c r="B5" s="10">
        <v>65</v>
      </c>
      <c r="C5" t="s">
        <v>19</v>
      </c>
      <c r="D5" s="29"/>
    </row>
    <row r="6" spans="1:7" x14ac:dyDescent="0.2">
      <c r="A6" t="s">
        <v>22</v>
      </c>
      <c r="B6" s="9">
        <v>1.1000000000000001</v>
      </c>
      <c r="C6" t="s">
        <v>19</v>
      </c>
    </row>
    <row r="7" spans="1:7" x14ac:dyDescent="0.2">
      <c r="A7" t="s">
        <v>23</v>
      </c>
      <c r="B7" s="10">
        <v>40</v>
      </c>
      <c r="C7" t="s">
        <v>19</v>
      </c>
    </row>
    <row r="8" spans="1:7" x14ac:dyDescent="0.2">
      <c r="A8" t="s">
        <v>24</v>
      </c>
      <c r="B8" s="10">
        <v>78</v>
      </c>
      <c r="C8" t="s">
        <v>19</v>
      </c>
    </row>
    <row r="10" spans="1:7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7" x14ac:dyDescent="0.2">
      <c r="A11" s="2">
        <v>0</v>
      </c>
      <c r="B11" s="2">
        <v>100</v>
      </c>
      <c r="C11" s="2"/>
      <c r="D11" s="2"/>
      <c r="F11" s="1">
        <v>0.37847222222222221</v>
      </c>
      <c r="G11" t="s">
        <v>3</v>
      </c>
    </row>
    <row r="12" spans="1:7" x14ac:dyDescent="0.2">
      <c r="A12" s="2">
        <v>2</v>
      </c>
      <c r="B12" s="2">
        <v>100</v>
      </c>
      <c r="C12" s="2"/>
      <c r="D12" s="2"/>
      <c r="F12" s="1">
        <v>0.38194444444444442</v>
      </c>
      <c r="G12" t="s">
        <v>4</v>
      </c>
    </row>
    <row r="13" spans="1:7" x14ac:dyDescent="0.2">
      <c r="A13" s="2">
        <v>4</v>
      </c>
      <c r="B13" s="2">
        <v>100</v>
      </c>
      <c r="C13" s="2"/>
      <c r="D13" s="2"/>
      <c r="F13" s="1">
        <v>0.38541666666666669</v>
      </c>
      <c r="G13" t="s">
        <v>5</v>
      </c>
    </row>
    <row r="14" spans="1:7" x14ac:dyDescent="0.2">
      <c r="A14" s="2">
        <v>6</v>
      </c>
      <c r="B14" s="2">
        <v>100</v>
      </c>
      <c r="C14" s="2"/>
      <c r="D14" s="2"/>
      <c r="F14" s="1">
        <v>0.3888888888888889</v>
      </c>
      <c r="G14" t="s">
        <v>6</v>
      </c>
    </row>
    <row r="15" spans="1:7" x14ac:dyDescent="0.2">
      <c r="A15" s="2">
        <v>8</v>
      </c>
      <c r="B15" s="2">
        <v>100</v>
      </c>
      <c r="C15" s="2"/>
      <c r="D15" s="2"/>
      <c r="F15" s="1">
        <v>0.4</v>
      </c>
      <c r="G15" t="s">
        <v>7</v>
      </c>
    </row>
    <row r="16" spans="1:7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2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450</v>
      </c>
      <c r="C29" s="2"/>
      <c r="D29" s="2"/>
    </row>
    <row r="30" spans="1:4" x14ac:dyDescent="0.2">
      <c r="A30" s="2">
        <v>38</v>
      </c>
      <c r="B30" s="2">
        <v>450</v>
      </c>
      <c r="C30" s="2"/>
      <c r="D30" s="2"/>
    </row>
    <row r="31" spans="1:4" x14ac:dyDescent="0.2">
      <c r="A31" s="2">
        <v>40</v>
      </c>
      <c r="B31" s="2">
        <v>450</v>
      </c>
      <c r="C31" s="2"/>
      <c r="D31" s="2"/>
    </row>
    <row r="32" spans="1:4" x14ac:dyDescent="0.2">
      <c r="A32" s="2">
        <v>42</v>
      </c>
      <c r="B32" s="2">
        <v>450</v>
      </c>
      <c r="C32" s="2"/>
      <c r="D32" s="2"/>
    </row>
    <row r="33" spans="1:4" x14ac:dyDescent="0.2">
      <c r="A33" s="2">
        <v>44</v>
      </c>
      <c r="B33" s="2">
        <v>450</v>
      </c>
      <c r="C33" s="2"/>
      <c r="D33" s="2"/>
    </row>
    <row r="34" spans="1:4" x14ac:dyDescent="0.2">
      <c r="A34" s="2">
        <v>46</v>
      </c>
      <c r="B34" s="2">
        <v>450</v>
      </c>
      <c r="C34" s="2"/>
      <c r="D34" s="2"/>
    </row>
    <row r="35" spans="1:4" x14ac:dyDescent="0.2">
      <c r="A35" s="2">
        <v>48</v>
      </c>
      <c r="B35" s="2">
        <v>450</v>
      </c>
      <c r="C35" s="2"/>
      <c r="D35" s="2"/>
    </row>
    <row r="36" spans="1:4" x14ac:dyDescent="0.2">
      <c r="A36" s="2">
        <v>50</v>
      </c>
      <c r="B36" s="2">
        <v>450</v>
      </c>
      <c r="C36" s="2"/>
      <c r="D36" s="2"/>
    </row>
    <row r="37" spans="1:4" x14ac:dyDescent="0.2">
      <c r="A37" s="2">
        <v>52</v>
      </c>
      <c r="B37" s="2">
        <v>450</v>
      </c>
      <c r="C37" s="2"/>
      <c r="D37" s="2"/>
    </row>
    <row r="38" spans="1:4" x14ac:dyDescent="0.2">
      <c r="A38" s="2">
        <v>54</v>
      </c>
      <c r="B38" s="2">
        <v>450</v>
      </c>
      <c r="C38" s="2"/>
      <c r="D38" s="2"/>
    </row>
    <row r="39" spans="1:4" x14ac:dyDescent="0.2">
      <c r="A39" s="2">
        <v>56</v>
      </c>
      <c r="B39" s="2">
        <v>450</v>
      </c>
      <c r="C39" s="2"/>
      <c r="D39" s="2"/>
    </row>
    <row r="40" spans="1:4" x14ac:dyDescent="0.2">
      <c r="A40" s="2">
        <v>58</v>
      </c>
      <c r="B40" s="2">
        <v>450</v>
      </c>
      <c r="C40" s="2"/>
      <c r="D40" s="2"/>
    </row>
    <row r="41" spans="1:4" x14ac:dyDescent="0.2">
      <c r="A41" s="2">
        <v>60</v>
      </c>
      <c r="B41" s="2">
        <v>450</v>
      </c>
      <c r="C41" s="2">
        <v>100</v>
      </c>
      <c r="D41" s="2"/>
    </row>
    <row r="42" spans="1:4" x14ac:dyDescent="0.2">
      <c r="A42" s="2">
        <v>62</v>
      </c>
      <c r="B42" s="2">
        <v>450</v>
      </c>
      <c r="C42" s="2">
        <v>157</v>
      </c>
      <c r="D42" s="2"/>
    </row>
    <row r="43" spans="1:4" x14ac:dyDescent="0.2">
      <c r="A43" s="2">
        <v>64</v>
      </c>
      <c r="B43" s="2">
        <v>450</v>
      </c>
      <c r="C43" s="2">
        <v>220</v>
      </c>
      <c r="D43" s="2"/>
    </row>
    <row r="44" spans="1:4" x14ac:dyDescent="0.2">
      <c r="A44" s="2">
        <v>66</v>
      </c>
      <c r="B44" s="2">
        <v>450</v>
      </c>
      <c r="C44" s="2">
        <v>272</v>
      </c>
      <c r="D44" s="2"/>
    </row>
    <row r="45" spans="1:4" x14ac:dyDescent="0.2">
      <c r="A45" s="2">
        <v>68</v>
      </c>
      <c r="B45" s="2">
        <v>450</v>
      </c>
      <c r="C45" s="2">
        <v>319</v>
      </c>
      <c r="D45" s="2"/>
    </row>
    <row r="46" spans="1:4" x14ac:dyDescent="0.2">
      <c r="A46" s="2">
        <v>70</v>
      </c>
      <c r="B46" s="2">
        <v>450</v>
      </c>
      <c r="C46" s="2">
        <v>362</v>
      </c>
      <c r="D46" s="7" t="s">
        <v>8</v>
      </c>
    </row>
    <row r="47" spans="1:4" x14ac:dyDescent="0.2">
      <c r="A47" s="2">
        <v>72</v>
      </c>
      <c r="B47" s="2">
        <v>450</v>
      </c>
      <c r="C47" s="2">
        <v>557</v>
      </c>
      <c r="D47" s="26" t="s">
        <v>18</v>
      </c>
    </row>
    <row r="48" spans="1:4" x14ac:dyDescent="0.2">
      <c r="A48" s="2">
        <v>74</v>
      </c>
      <c r="B48" s="2">
        <v>450</v>
      </c>
      <c r="C48" s="2">
        <v>608</v>
      </c>
      <c r="D48" s="27"/>
    </row>
    <row r="49" spans="1:4" x14ac:dyDescent="0.2">
      <c r="A49" s="2">
        <v>76</v>
      </c>
      <c r="B49" s="2">
        <v>450</v>
      </c>
      <c r="C49" s="2">
        <v>756</v>
      </c>
      <c r="D49" s="27"/>
    </row>
    <row r="50" spans="1:4" x14ac:dyDescent="0.2">
      <c r="A50" s="2">
        <v>78</v>
      </c>
      <c r="B50" s="2">
        <v>450</v>
      </c>
      <c r="C50" s="2">
        <v>805</v>
      </c>
      <c r="D50" s="28"/>
    </row>
    <row r="51" spans="1:4" x14ac:dyDescent="0.2">
      <c r="A51" s="2">
        <v>80</v>
      </c>
      <c r="B51" s="2">
        <v>450</v>
      </c>
      <c r="C51" s="2">
        <v>836</v>
      </c>
      <c r="D51" s="2"/>
    </row>
    <row r="52" spans="1:4" x14ac:dyDescent="0.2">
      <c r="A52" s="2">
        <v>82</v>
      </c>
      <c r="B52" s="2">
        <v>450</v>
      </c>
      <c r="C52" s="2">
        <v>854</v>
      </c>
      <c r="D52" s="2"/>
    </row>
    <row r="53" spans="1:4" x14ac:dyDescent="0.2">
      <c r="A53" s="2">
        <v>84</v>
      </c>
      <c r="B53" s="2">
        <v>450</v>
      </c>
      <c r="C53" s="2">
        <v>875</v>
      </c>
      <c r="D53" s="2"/>
    </row>
    <row r="54" spans="1:4" x14ac:dyDescent="0.2">
      <c r="A54" s="2">
        <v>86</v>
      </c>
      <c r="B54" s="2">
        <v>450</v>
      </c>
      <c r="C54" s="2">
        <v>896</v>
      </c>
      <c r="D54" s="2"/>
    </row>
    <row r="55" spans="1:4" x14ac:dyDescent="0.2">
      <c r="A55" s="2">
        <v>88</v>
      </c>
      <c r="B55" s="2">
        <v>450</v>
      </c>
      <c r="C55" s="2">
        <v>918</v>
      </c>
      <c r="D55" s="2"/>
    </row>
    <row r="56" spans="1:4" x14ac:dyDescent="0.2">
      <c r="A56" s="2">
        <v>90</v>
      </c>
      <c r="B56" s="2">
        <v>450</v>
      </c>
      <c r="C56" s="2">
        <v>942</v>
      </c>
      <c r="D56" s="2"/>
    </row>
    <row r="57" spans="1:4" x14ac:dyDescent="0.2">
      <c r="A57" s="2">
        <v>91</v>
      </c>
      <c r="B57" s="2">
        <v>450</v>
      </c>
      <c r="C57" s="2">
        <v>950</v>
      </c>
      <c r="D57" s="2" t="s">
        <v>9</v>
      </c>
    </row>
    <row r="60" spans="1:4" x14ac:dyDescent="0.2">
      <c r="A60" s="4"/>
    </row>
  </sheetData>
  <mergeCells count="2">
    <mergeCell ref="D47:D50"/>
    <mergeCell ref="D1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DF84-A2EA-E840-B5C5-E87479E64625}">
  <sheetPr codeName="Sheet2"/>
  <dimension ref="A1:G60"/>
  <sheetViews>
    <sheetView zoomScale="183" workbookViewId="0">
      <selection activeCell="D48" sqref="D48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</cols>
  <sheetData>
    <row r="1" spans="1:6" x14ac:dyDescent="0.2">
      <c r="A1" t="s">
        <v>13</v>
      </c>
      <c r="B1" s="5">
        <v>45931</v>
      </c>
      <c r="D1" s="29" t="s">
        <v>26</v>
      </c>
    </row>
    <row r="2" spans="1:6" x14ac:dyDescent="0.2">
      <c r="A2" t="s">
        <v>14</v>
      </c>
      <c r="B2" s="1">
        <v>0.375</v>
      </c>
      <c r="D2" s="29"/>
    </row>
    <row r="3" spans="1:6" x14ac:dyDescent="0.2">
      <c r="A3" t="s">
        <v>15</v>
      </c>
      <c r="B3" s="1">
        <v>0.4375</v>
      </c>
      <c r="D3" s="29"/>
    </row>
    <row r="4" spans="1:6" ht="16" customHeight="1" x14ac:dyDescent="0.2">
      <c r="A4" t="s">
        <v>20</v>
      </c>
      <c r="B4" s="10">
        <v>380</v>
      </c>
      <c r="C4" t="s">
        <v>19</v>
      </c>
      <c r="D4" s="29"/>
    </row>
    <row r="5" spans="1:6" x14ac:dyDescent="0.2">
      <c r="A5" t="s">
        <v>21</v>
      </c>
      <c r="B5" s="10">
        <v>68</v>
      </c>
      <c r="C5" t="s">
        <v>19</v>
      </c>
      <c r="D5" s="29"/>
    </row>
    <row r="6" spans="1:6" x14ac:dyDescent="0.2">
      <c r="A6" t="s">
        <v>22</v>
      </c>
      <c r="B6" s="9">
        <v>1.1000000000000001</v>
      </c>
      <c r="C6" t="s">
        <v>19</v>
      </c>
    </row>
    <row r="7" spans="1:6" x14ac:dyDescent="0.2">
      <c r="A7" t="s">
        <v>23</v>
      </c>
      <c r="B7" s="10">
        <v>40</v>
      </c>
      <c r="C7" t="s">
        <v>19</v>
      </c>
    </row>
    <row r="8" spans="1:6" x14ac:dyDescent="0.2">
      <c r="A8" t="s">
        <v>24</v>
      </c>
      <c r="B8" s="10">
        <v>58</v>
      </c>
      <c r="C8" t="s">
        <v>19</v>
      </c>
    </row>
    <row r="9" spans="1:6" x14ac:dyDescent="0.2">
      <c r="B9" s="1"/>
      <c r="D9" s="6"/>
    </row>
    <row r="10" spans="1:6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6" x14ac:dyDescent="0.2">
      <c r="A11" s="2">
        <v>0</v>
      </c>
      <c r="B11" s="2">
        <v>100</v>
      </c>
      <c r="C11" s="2"/>
      <c r="D11" s="2"/>
      <c r="F11" s="1"/>
    </row>
    <row r="12" spans="1:6" x14ac:dyDescent="0.2">
      <c r="A12" s="2">
        <v>2</v>
      </c>
      <c r="B12" s="2">
        <v>100</v>
      </c>
      <c r="C12" s="2"/>
      <c r="D12" s="2"/>
      <c r="F12" s="1"/>
    </row>
    <row r="13" spans="1:6" x14ac:dyDescent="0.2">
      <c r="A13" s="2">
        <v>4</v>
      </c>
      <c r="B13" s="2">
        <v>100</v>
      </c>
      <c r="C13" s="2"/>
      <c r="D13" s="2"/>
      <c r="F13" s="1"/>
    </row>
    <row r="14" spans="1:6" x14ac:dyDescent="0.2">
      <c r="A14" s="2">
        <v>6</v>
      </c>
      <c r="B14" s="2">
        <v>100</v>
      </c>
      <c r="C14" s="2"/>
      <c r="D14" s="2"/>
      <c r="F14" s="1"/>
    </row>
    <row r="15" spans="1:6" x14ac:dyDescent="0.2">
      <c r="A15" s="2">
        <v>8</v>
      </c>
      <c r="B15" s="2">
        <v>100</v>
      </c>
      <c r="C15" s="2"/>
      <c r="D15" s="2"/>
      <c r="F15" s="1"/>
    </row>
    <row r="16" spans="1:6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2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450</v>
      </c>
      <c r="C29" s="2"/>
      <c r="D29" s="2"/>
    </row>
    <row r="30" spans="1:4" x14ac:dyDescent="0.2">
      <c r="A30" s="2">
        <v>38</v>
      </c>
      <c r="B30" s="2">
        <v>450</v>
      </c>
      <c r="C30" s="2"/>
      <c r="D30" s="2"/>
    </row>
    <row r="31" spans="1:4" x14ac:dyDescent="0.2">
      <c r="A31" s="2">
        <v>40</v>
      </c>
      <c r="B31" s="2">
        <v>450</v>
      </c>
      <c r="C31" s="2"/>
      <c r="D31" s="2"/>
    </row>
    <row r="32" spans="1:4" x14ac:dyDescent="0.2">
      <c r="A32" s="2">
        <v>42</v>
      </c>
      <c r="B32" s="2">
        <v>450</v>
      </c>
      <c r="C32" s="2"/>
      <c r="D32" s="2"/>
    </row>
    <row r="33" spans="1:7" x14ac:dyDescent="0.2">
      <c r="A33" s="2">
        <v>44</v>
      </c>
      <c r="B33" s="2">
        <v>450</v>
      </c>
      <c r="C33" s="2"/>
      <c r="D33" s="2"/>
    </row>
    <row r="34" spans="1:7" x14ac:dyDescent="0.2">
      <c r="A34" s="2">
        <v>46</v>
      </c>
      <c r="B34" s="2">
        <v>450</v>
      </c>
      <c r="C34" s="2"/>
      <c r="D34" s="2"/>
    </row>
    <row r="35" spans="1:7" x14ac:dyDescent="0.2">
      <c r="A35" s="2">
        <v>48</v>
      </c>
      <c r="B35" s="2">
        <v>450</v>
      </c>
      <c r="C35" s="2"/>
      <c r="D35" s="2"/>
    </row>
    <row r="36" spans="1:7" x14ac:dyDescent="0.2">
      <c r="A36" s="2">
        <v>50</v>
      </c>
      <c r="B36" s="2">
        <v>450</v>
      </c>
      <c r="C36" s="2"/>
      <c r="D36" s="2"/>
    </row>
    <row r="37" spans="1:7" x14ac:dyDescent="0.2">
      <c r="A37" s="2">
        <v>52</v>
      </c>
      <c r="B37" s="2">
        <v>450</v>
      </c>
      <c r="C37" s="2"/>
      <c r="D37" s="2"/>
    </row>
    <row r="38" spans="1:7" x14ac:dyDescent="0.2">
      <c r="A38" s="2">
        <v>54</v>
      </c>
      <c r="B38" s="2">
        <v>450</v>
      </c>
      <c r="C38" s="2"/>
      <c r="D38" s="2"/>
      <c r="G38" s="11"/>
    </row>
    <row r="39" spans="1:7" x14ac:dyDescent="0.2">
      <c r="A39" s="2">
        <v>56</v>
      </c>
      <c r="B39" s="2">
        <v>450</v>
      </c>
      <c r="C39" s="2"/>
      <c r="D39" s="2"/>
    </row>
    <row r="40" spans="1:7" x14ac:dyDescent="0.2">
      <c r="A40" s="2">
        <v>58</v>
      </c>
      <c r="B40" s="2">
        <v>450</v>
      </c>
      <c r="C40" s="2"/>
      <c r="D40" s="2"/>
    </row>
    <row r="41" spans="1:7" x14ac:dyDescent="0.2">
      <c r="A41" s="2">
        <v>60</v>
      </c>
      <c r="B41" s="2">
        <v>450</v>
      </c>
      <c r="C41" s="2"/>
      <c r="D41" s="2"/>
    </row>
    <row r="42" spans="1:7" x14ac:dyDescent="0.2">
      <c r="A42" s="2">
        <v>62</v>
      </c>
      <c r="B42" s="2">
        <v>450</v>
      </c>
      <c r="C42" s="2">
        <v>180</v>
      </c>
      <c r="D42" s="2"/>
    </row>
    <row r="43" spans="1:7" x14ac:dyDescent="0.2">
      <c r="A43" s="2">
        <v>64</v>
      </c>
      <c r="B43" s="2">
        <v>450</v>
      </c>
      <c r="C43" s="2">
        <v>315</v>
      </c>
      <c r="D43" s="2"/>
    </row>
    <row r="44" spans="1:7" x14ac:dyDescent="0.2">
      <c r="A44" s="2">
        <v>66</v>
      </c>
      <c r="B44" s="2">
        <v>450</v>
      </c>
      <c r="C44" s="2">
        <v>550</v>
      </c>
      <c r="D44" s="2"/>
    </row>
    <row r="45" spans="1:7" x14ac:dyDescent="0.2">
      <c r="A45" s="2">
        <v>68</v>
      </c>
      <c r="B45" s="2">
        <v>450</v>
      </c>
      <c r="C45" s="2">
        <v>631</v>
      </c>
      <c r="D45" s="2"/>
    </row>
    <row r="46" spans="1:7" x14ac:dyDescent="0.2">
      <c r="A46" s="2">
        <v>70</v>
      </c>
      <c r="B46" s="2">
        <v>450</v>
      </c>
      <c r="C46" s="2">
        <v>690</v>
      </c>
      <c r="D46" s="7" t="s">
        <v>25</v>
      </c>
    </row>
    <row r="47" spans="1:7" x14ac:dyDescent="0.2">
      <c r="A47" s="2">
        <v>72</v>
      </c>
      <c r="B47" s="2">
        <v>450</v>
      </c>
      <c r="C47" s="2">
        <v>681</v>
      </c>
      <c r="D47" s="7" t="s">
        <v>10</v>
      </c>
    </row>
    <row r="48" spans="1:7" x14ac:dyDescent="0.2">
      <c r="A48" s="2">
        <v>74</v>
      </c>
      <c r="B48" s="2">
        <v>450</v>
      </c>
      <c r="C48" s="2">
        <v>671</v>
      </c>
      <c r="D48" s="7"/>
    </row>
    <row r="49" spans="1:7" x14ac:dyDescent="0.2">
      <c r="A49" s="2">
        <v>76</v>
      </c>
      <c r="B49" s="2">
        <v>450</v>
      </c>
      <c r="C49" s="2">
        <v>693</v>
      </c>
      <c r="D49" s="7"/>
    </row>
    <row r="50" spans="1:7" x14ac:dyDescent="0.2">
      <c r="A50" s="2">
        <v>78</v>
      </c>
      <c r="B50" s="2">
        <v>450</v>
      </c>
      <c r="C50" s="2">
        <v>720</v>
      </c>
      <c r="D50" s="7"/>
    </row>
    <row r="51" spans="1:7" x14ac:dyDescent="0.2">
      <c r="A51" s="2">
        <v>80</v>
      </c>
      <c r="B51" s="2">
        <v>450</v>
      </c>
      <c r="C51" s="2">
        <v>732</v>
      </c>
      <c r="D51" s="2"/>
    </row>
    <row r="52" spans="1:7" x14ac:dyDescent="0.2">
      <c r="A52" s="2">
        <v>82</v>
      </c>
      <c r="B52" s="2">
        <v>450</v>
      </c>
      <c r="C52" s="2">
        <v>757</v>
      </c>
      <c r="D52" s="2"/>
    </row>
    <row r="53" spans="1:7" x14ac:dyDescent="0.2">
      <c r="A53" s="2">
        <v>84</v>
      </c>
      <c r="B53" s="2">
        <v>450</v>
      </c>
      <c r="C53" s="2">
        <v>785</v>
      </c>
      <c r="D53" s="2"/>
      <c r="G53" s="11"/>
    </row>
    <row r="54" spans="1:7" x14ac:dyDescent="0.2">
      <c r="A54" s="2">
        <v>86</v>
      </c>
      <c r="B54" s="2">
        <v>450</v>
      </c>
      <c r="C54" s="2">
        <v>810</v>
      </c>
      <c r="D54" s="2"/>
    </row>
    <row r="55" spans="1:7" x14ac:dyDescent="0.2">
      <c r="A55" s="2">
        <v>88</v>
      </c>
      <c r="B55" s="2">
        <v>450</v>
      </c>
      <c r="C55" s="2">
        <v>841</v>
      </c>
      <c r="D55" s="2"/>
    </row>
    <row r="56" spans="1:7" x14ac:dyDescent="0.2">
      <c r="A56" s="2">
        <v>90</v>
      </c>
      <c r="B56" s="2">
        <v>450</v>
      </c>
      <c r="C56" s="2">
        <v>869</v>
      </c>
      <c r="D56" s="2"/>
    </row>
    <row r="57" spans="1:7" x14ac:dyDescent="0.2">
      <c r="A57" s="2">
        <v>92</v>
      </c>
      <c r="B57" s="2">
        <v>450</v>
      </c>
      <c r="C57" s="2">
        <v>898</v>
      </c>
      <c r="D57" s="2"/>
    </row>
    <row r="58" spans="1:7" x14ac:dyDescent="0.2">
      <c r="A58" s="2">
        <v>94</v>
      </c>
      <c r="B58" s="2">
        <v>450</v>
      </c>
      <c r="C58" s="2">
        <v>930</v>
      </c>
      <c r="D58" s="2"/>
    </row>
    <row r="59" spans="1:7" x14ac:dyDescent="0.2">
      <c r="A59" s="2">
        <v>95</v>
      </c>
      <c r="B59" s="2">
        <v>450</v>
      </c>
      <c r="C59" s="2">
        <v>950</v>
      </c>
      <c r="D59" s="2" t="s">
        <v>9</v>
      </c>
    </row>
    <row r="60" spans="1:7" x14ac:dyDescent="0.2">
      <c r="A60" s="4"/>
    </row>
  </sheetData>
  <mergeCells count="1">
    <mergeCell ref="D1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0088-CCFD-A64F-95F7-07181BFCE019}">
  <sheetPr codeName="Sheet3"/>
  <dimension ref="A1:G60"/>
  <sheetViews>
    <sheetView topLeftCell="A34" zoomScale="183" workbookViewId="0">
      <selection activeCell="D1" sqref="D1:D5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</cols>
  <sheetData>
    <row r="1" spans="1:6" x14ac:dyDescent="0.2">
      <c r="A1" t="s">
        <v>13</v>
      </c>
      <c r="B1" s="5">
        <v>45931</v>
      </c>
      <c r="D1" s="29" t="s">
        <v>27</v>
      </c>
    </row>
    <row r="2" spans="1:6" x14ac:dyDescent="0.2">
      <c r="A2" t="s">
        <v>14</v>
      </c>
      <c r="B2" s="1">
        <v>0.58333333333333337</v>
      </c>
      <c r="D2" s="29"/>
    </row>
    <row r="3" spans="1:6" x14ac:dyDescent="0.2">
      <c r="A3" t="s">
        <v>15</v>
      </c>
      <c r="B3" s="1">
        <v>0.64930555555555558</v>
      </c>
      <c r="D3" s="29"/>
    </row>
    <row r="4" spans="1:6" ht="16" customHeight="1" x14ac:dyDescent="0.2">
      <c r="A4" t="s">
        <v>20</v>
      </c>
      <c r="B4" s="10">
        <v>380</v>
      </c>
      <c r="C4" t="s">
        <v>19</v>
      </c>
      <c r="D4" s="29"/>
    </row>
    <row r="5" spans="1:6" x14ac:dyDescent="0.2">
      <c r="A5" t="s">
        <v>21</v>
      </c>
      <c r="B5" s="10">
        <v>68</v>
      </c>
      <c r="C5" t="s">
        <v>19</v>
      </c>
      <c r="D5" s="29"/>
    </row>
    <row r="6" spans="1:6" x14ac:dyDescent="0.2">
      <c r="A6" t="s">
        <v>22</v>
      </c>
      <c r="B6" s="9">
        <v>1.1000000000000001</v>
      </c>
      <c r="C6" t="s">
        <v>19</v>
      </c>
    </row>
    <row r="7" spans="1:6" x14ac:dyDescent="0.2">
      <c r="A7" t="s">
        <v>23</v>
      </c>
      <c r="B7" s="10">
        <v>40</v>
      </c>
      <c r="C7" t="s">
        <v>19</v>
      </c>
    </row>
    <row r="8" spans="1:6" x14ac:dyDescent="0.2">
      <c r="A8" t="s">
        <v>24</v>
      </c>
      <c r="B8" s="10">
        <v>58</v>
      </c>
      <c r="C8" t="s">
        <v>19</v>
      </c>
    </row>
    <row r="9" spans="1:6" x14ac:dyDescent="0.2">
      <c r="B9" s="1"/>
      <c r="D9" s="6"/>
    </row>
    <row r="10" spans="1:6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6" x14ac:dyDescent="0.2">
      <c r="A11" s="2">
        <v>0</v>
      </c>
      <c r="B11" s="2">
        <v>100</v>
      </c>
      <c r="C11" s="2"/>
      <c r="D11" s="2"/>
      <c r="F11" s="1"/>
    </row>
    <row r="12" spans="1:6" x14ac:dyDescent="0.2">
      <c r="A12" s="2">
        <v>2</v>
      </c>
      <c r="B12" s="2">
        <v>100</v>
      </c>
      <c r="C12" s="2"/>
      <c r="D12" s="2"/>
      <c r="F12" s="1"/>
    </row>
    <row r="13" spans="1:6" x14ac:dyDescent="0.2">
      <c r="A13" s="2">
        <v>4</v>
      </c>
      <c r="B13" s="2">
        <v>100</v>
      </c>
      <c r="C13" s="2"/>
      <c r="D13" s="2"/>
      <c r="F13" s="1"/>
    </row>
    <row r="14" spans="1:6" x14ac:dyDescent="0.2">
      <c r="A14" s="2">
        <v>6</v>
      </c>
      <c r="B14" s="2">
        <v>100</v>
      </c>
      <c r="C14" s="2"/>
      <c r="D14" s="2"/>
      <c r="F14" s="1"/>
    </row>
    <row r="15" spans="1:6" x14ac:dyDescent="0.2">
      <c r="A15" s="2">
        <v>8</v>
      </c>
      <c r="B15" s="2">
        <v>100</v>
      </c>
      <c r="C15" s="2"/>
      <c r="D15" s="2"/>
      <c r="F15" s="1"/>
    </row>
    <row r="16" spans="1:6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2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450</v>
      </c>
      <c r="C29" s="2"/>
      <c r="D29" s="2"/>
    </row>
    <row r="30" spans="1:4" x14ac:dyDescent="0.2">
      <c r="A30" s="2">
        <v>38</v>
      </c>
      <c r="B30" s="2">
        <v>450</v>
      </c>
      <c r="C30" s="2"/>
      <c r="D30" s="2"/>
    </row>
    <row r="31" spans="1:4" x14ac:dyDescent="0.2">
      <c r="A31" s="2">
        <v>40</v>
      </c>
      <c r="B31" s="2">
        <v>450</v>
      </c>
      <c r="C31" s="2"/>
      <c r="D31" s="2"/>
    </row>
    <row r="32" spans="1:4" x14ac:dyDescent="0.2">
      <c r="A32" s="2">
        <v>42</v>
      </c>
      <c r="B32" s="2">
        <v>450</v>
      </c>
      <c r="C32" s="2"/>
      <c r="D32" s="2"/>
    </row>
    <row r="33" spans="1:7" x14ac:dyDescent="0.2">
      <c r="A33" s="2">
        <v>44</v>
      </c>
      <c r="B33" s="2">
        <v>450</v>
      </c>
      <c r="C33" s="2"/>
      <c r="D33" s="2"/>
    </row>
    <row r="34" spans="1:7" x14ac:dyDescent="0.2">
      <c r="A34" s="2">
        <v>46</v>
      </c>
      <c r="B34" s="2">
        <v>450</v>
      </c>
      <c r="C34" s="2"/>
      <c r="D34" s="2"/>
    </row>
    <row r="35" spans="1:7" x14ac:dyDescent="0.2">
      <c r="A35" s="2">
        <v>48</v>
      </c>
      <c r="B35" s="2">
        <v>450</v>
      </c>
      <c r="C35" s="2"/>
      <c r="D35" s="2"/>
    </row>
    <row r="36" spans="1:7" x14ac:dyDescent="0.2">
      <c r="A36" s="2">
        <v>50</v>
      </c>
      <c r="B36" s="2">
        <v>450</v>
      </c>
      <c r="C36" s="2"/>
      <c r="D36" s="2"/>
    </row>
    <row r="37" spans="1:7" x14ac:dyDescent="0.2">
      <c r="A37" s="2">
        <v>52</v>
      </c>
      <c r="B37" s="2">
        <v>450</v>
      </c>
      <c r="C37" s="2"/>
      <c r="D37" s="2"/>
    </row>
    <row r="38" spans="1:7" x14ac:dyDescent="0.2">
      <c r="A38" s="2">
        <v>54</v>
      </c>
      <c r="B38" s="2">
        <v>450</v>
      </c>
      <c r="C38" s="2"/>
      <c r="D38" s="2"/>
      <c r="G38" s="11"/>
    </row>
    <row r="39" spans="1:7" x14ac:dyDescent="0.2">
      <c r="A39" s="2">
        <v>56</v>
      </c>
      <c r="B39" s="2">
        <v>450</v>
      </c>
      <c r="C39" s="2"/>
      <c r="D39" s="2"/>
    </row>
    <row r="40" spans="1:7" x14ac:dyDescent="0.2">
      <c r="A40" s="2">
        <v>58</v>
      </c>
      <c r="B40" s="2">
        <v>450</v>
      </c>
      <c r="C40" s="2"/>
      <c r="D40" s="2"/>
    </row>
    <row r="41" spans="1:7" x14ac:dyDescent="0.2">
      <c r="A41" s="2">
        <v>60</v>
      </c>
      <c r="B41" s="2">
        <v>450</v>
      </c>
      <c r="C41" s="2"/>
      <c r="D41" s="2"/>
    </row>
    <row r="42" spans="1:7" x14ac:dyDescent="0.2">
      <c r="A42" s="2">
        <v>62</v>
      </c>
      <c r="B42" s="2">
        <v>450</v>
      </c>
      <c r="C42" s="2">
        <v>238</v>
      </c>
      <c r="D42" s="2"/>
      <c r="F42" s="11"/>
    </row>
    <row r="43" spans="1:7" x14ac:dyDescent="0.2">
      <c r="A43" s="2">
        <v>64</v>
      </c>
      <c r="B43" s="2">
        <v>450</v>
      </c>
      <c r="C43" s="2">
        <v>354</v>
      </c>
      <c r="D43" s="2"/>
    </row>
    <row r="44" spans="1:7" x14ac:dyDescent="0.2">
      <c r="A44" s="2">
        <v>66</v>
      </c>
      <c r="B44" s="2">
        <v>450</v>
      </c>
      <c r="C44" s="2">
        <v>417</v>
      </c>
      <c r="D44" s="2"/>
    </row>
    <row r="45" spans="1:7" x14ac:dyDescent="0.2">
      <c r="A45" s="2">
        <v>68</v>
      </c>
      <c r="B45" s="2">
        <v>450</v>
      </c>
      <c r="C45" s="2">
        <v>464</v>
      </c>
      <c r="D45" s="2"/>
    </row>
    <row r="46" spans="1:7" x14ac:dyDescent="0.2">
      <c r="A46" s="2">
        <v>70</v>
      </c>
      <c r="B46" s="2">
        <v>450</v>
      </c>
      <c r="C46" s="2">
        <v>505</v>
      </c>
      <c r="D46" s="7" t="s">
        <v>25</v>
      </c>
    </row>
    <row r="47" spans="1:7" x14ac:dyDescent="0.2">
      <c r="A47" s="2">
        <v>72</v>
      </c>
      <c r="B47" s="2">
        <v>450</v>
      </c>
      <c r="C47" s="2">
        <v>656</v>
      </c>
      <c r="D47" s="7" t="s">
        <v>10</v>
      </c>
    </row>
    <row r="48" spans="1:7" x14ac:dyDescent="0.2">
      <c r="A48" s="2">
        <v>74</v>
      </c>
      <c r="B48" s="2">
        <v>450</v>
      </c>
      <c r="C48" s="2">
        <v>662</v>
      </c>
      <c r="D48" s="7"/>
    </row>
    <row r="49" spans="1:7" x14ac:dyDescent="0.2">
      <c r="A49" s="2">
        <v>76</v>
      </c>
      <c r="B49" s="2">
        <v>450</v>
      </c>
      <c r="C49" s="2">
        <v>627</v>
      </c>
      <c r="D49" s="7"/>
    </row>
    <row r="50" spans="1:7" x14ac:dyDescent="0.2">
      <c r="A50" s="2">
        <v>78</v>
      </c>
      <c r="B50" s="2">
        <v>450</v>
      </c>
      <c r="C50" s="2">
        <v>693</v>
      </c>
      <c r="D50" s="7"/>
    </row>
    <row r="51" spans="1:7" x14ac:dyDescent="0.2">
      <c r="A51" s="2">
        <v>80</v>
      </c>
      <c r="B51" s="2">
        <v>450</v>
      </c>
      <c r="C51" s="2">
        <v>672</v>
      </c>
      <c r="D51" s="2"/>
    </row>
    <row r="52" spans="1:7" x14ac:dyDescent="0.2">
      <c r="A52" s="2">
        <v>82</v>
      </c>
      <c r="B52" s="2">
        <v>450</v>
      </c>
      <c r="C52" s="2">
        <v>746</v>
      </c>
      <c r="D52" s="2"/>
    </row>
    <row r="53" spans="1:7" x14ac:dyDescent="0.2">
      <c r="A53" s="2">
        <v>84</v>
      </c>
      <c r="B53" s="2">
        <v>450</v>
      </c>
      <c r="C53" s="2">
        <v>782</v>
      </c>
      <c r="D53" s="2"/>
      <c r="G53" s="11"/>
    </row>
    <row r="54" spans="1:7" x14ac:dyDescent="0.2">
      <c r="A54" s="2">
        <v>86</v>
      </c>
      <c r="B54" s="2">
        <v>450</v>
      </c>
      <c r="C54" s="2">
        <v>813</v>
      </c>
      <c r="D54" s="2"/>
    </row>
    <row r="55" spans="1:7" x14ac:dyDescent="0.2">
      <c r="A55" s="2">
        <v>88</v>
      </c>
      <c r="B55" s="2">
        <v>450</v>
      </c>
      <c r="C55" s="2">
        <v>844</v>
      </c>
      <c r="D55" s="2"/>
    </row>
    <row r="56" spans="1:7" x14ac:dyDescent="0.2">
      <c r="A56" s="2">
        <v>90</v>
      </c>
      <c r="B56" s="2">
        <v>450</v>
      </c>
      <c r="C56" s="2">
        <v>874</v>
      </c>
      <c r="D56" s="2"/>
    </row>
    <row r="57" spans="1:7" x14ac:dyDescent="0.2">
      <c r="A57" s="2">
        <v>92</v>
      </c>
      <c r="B57" s="2">
        <v>450</v>
      </c>
      <c r="C57" s="2">
        <v>904</v>
      </c>
      <c r="D57" s="2"/>
      <c r="F57" s="11"/>
    </row>
    <row r="58" spans="1:7" x14ac:dyDescent="0.2">
      <c r="A58" s="2">
        <v>94</v>
      </c>
      <c r="B58" s="2">
        <v>450</v>
      </c>
      <c r="C58" s="2">
        <v>926</v>
      </c>
      <c r="D58" s="2"/>
    </row>
    <row r="59" spans="1:7" x14ac:dyDescent="0.2">
      <c r="A59" s="2">
        <v>95</v>
      </c>
      <c r="B59" s="2">
        <v>450</v>
      </c>
      <c r="C59" s="2">
        <v>950</v>
      </c>
      <c r="D59" s="2" t="s">
        <v>9</v>
      </c>
    </row>
    <row r="60" spans="1:7" x14ac:dyDescent="0.2">
      <c r="A60" s="4"/>
    </row>
  </sheetData>
  <mergeCells count="1">
    <mergeCell ref="D1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E050-03C1-FE44-A700-76DA64C54B30}">
  <sheetPr codeName="Sheet4"/>
  <dimension ref="A1:G60"/>
  <sheetViews>
    <sheetView zoomScale="183" workbookViewId="0">
      <selection activeCell="B4" sqref="B4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</cols>
  <sheetData>
    <row r="1" spans="1:6" x14ac:dyDescent="0.2">
      <c r="A1" t="s">
        <v>13</v>
      </c>
      <c r="B1" s="5">
        <v>45931</v>
      </c>
      <c r="D1" s="29" t="s">
        <v>28</v>
      </c>
    </row>
    <row r="2" spans="1:6" x14ac:dyDescent="0.2">
      <c r="A2" t="s">
        <v>14</v>
      </c>
      <c r="B2" s="1">
        <v>0.72916666666666663</v>
      </c>
      <c r="D2" s="29"/>
    </row>
    <row r="3" spans="1:6" x14ac:dyDescent="0.2">
      <c r="A3" t="s">
        <v>15</v>
      </c>
      <c r="B3" s="1">
        <v>0.79166666666666663</v>
      </c>
      <c r="D3" s="29"/>
    </row>
    <row r="4" spans="1:6" ht="16" customHeight="1" x14ac:dyDescent="0.2">
      <c r="A4" t="s">
        <v>20</v>
      </c>
      <c r="B4" s="10">
        <v>381</v>
      </c>
      <c r="C4" t="s">
        <v>19</v>
      </c>
      <c r="D4" s="29"/>
    </row>
    <row r="5" spans="1:6" x14ac:dyDescent="0.2">
      <c r="A5" t="s">
        <v>21</v>
      </c>
      <c r="B5" s="10">
        <v>68</v>
      </c>
      <c r="C5" t="s">
        <v>19</v>
      </c>
      <c r="D5" s="29"/>
    </row>
    <row r="6" spans="1:6" x14ac:dyDescent="0.2">
      <c r="A6" t="s">
        <v>22</v>
      </c>
      <c r="B6" s="9">
        <v>1.1000000000000001</v>
      </c>
      <c r="C6" t="s">
        <v>19</v>
      </c>
    </row>
    <row r="7" spans="1:6" x14ac:dyDescent="0.2">
      <c r="A7" t="s">
        <v>23</v>
      </c>
      <c r="B7" s="10">
        <v>40</v>
      </c>
      <c r="C7" t="s">
        <v>19</v>
      </c>
    </row>
    <row r="8" spans="1:6" x14ac:dyDescent="0.2">
      <c r="A8" t="s">
        <v>24</v>
      </c>
      <c r="B8" s="10"/>
      <c r="C8" t="s">
        <v>19</v>
      </c>
    </row>
    <row r="9" spans="1:6" x14ac:dyDescent="0.2">
      <c r="B9" s="1"/>
      <c r="D9" s="6"/>
    </row>
    <row r="10" spans="1:6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6" x14ac:dyDescent="0.2">
      <c r="A11" s="2">
        <v>0</v>
      </c>
      <c r="B11" s="2">
        <v>100</v>
      </c>
      <c r="C11" s="2"/>
      <c r="D11" s="2"/>
      <c r="F11" s="1"/>
    </row>
    <row r="12" spans="1:6" x14ac:dyDescent="0.2">
      <c r="A12" s="2">
        <v>2</v>
      </c>
      <c r="B12" s="2">
        <v>100</v>
      </c>
      <c r="C12" s="2"/>
      <c r="D12" s="2"/>
      <c r="F12" s="1"/>
    </row>
    <row r="13" spans="1:6" x14ac:dyDescent="0.2">
      <c r="A13" s="2">
        <v>4</v>
      </c>
      <c r="B13" s="2">
        <v>100</v>
      </c>
      <c r="C13" s="2"/>
      <c r="D13" s="2"/>
      <c r="F13" s="1"/>
    </row>
    <row r="14" spans="1:6" x14ac:dyDescent="0.2">
      <c r="A14" s="2">
        <v>6</v>
      </c>
      <c r="B14" s="2">
        <v>100</v>
      </c>
      <c r="C14" s="2"/>
      <c r="D14" s="2"/>
      <c r="F14" s="1"/>
    </row>
    <row r="15" spans="1:6" x14ac:dyDescent="0.2">
      <c r="A15" s="2">
        <v>8</v>
      </c>
      <c r="B15" s="2">
        <v>100</v>
      </c>
      <c r="C15" s="2"/>
      <c r="D15" s="2"/>
      <c r="F15" s="1"/>
    </row>
    <row r="16" spans="1:6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2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450</v>
      </c>
      <c r="C29" s="2"/>
      <c r="D29" s="2"/>
    </row>
    <row r="30" spans="1:4" x14ac:dyDescent="0.2">
      <c r="A30" s="2">
        <v>38</v>
      </c>
      <c r="B30" s="2">
        <v>450</v>
      </c>
      <c r="C30" s="2"/>
      <c r="D30" s="2"/>
    </row>
    <row r="31" spans="1:4" x14ac:dyDescent="0.2">
      <c r="A31" s="2">
        <v>40</v>
      </c>
      <c r="B31" s="2">
        <v>450</v>
      </c>
      <c r="C31" s="2"/>
      <c r="D31" s="2"/>
    </row>
    <row r="32" spans="1:4" x14ac:dyDescent="0.2">
      <c r="A32" s="2">
        <v>42</v>
      </c>
      <c r="B32" s="2">
        <v>450</v>
      </c>
      <c r="C32" s="2"/>
      <c r="D32" s="2"/>
    </row>
    <row r="33" spans="1:7" x14ac:dyDescent="0.2">
      <c r="A33" s="2">
        <v>44</v>
      </c>
      <c r="B33" s="2">
        <v>450</v>
      </c>
      <c r="C33" s="2"/>
      <c r="D33" s="2"/>
    </row>
    <row r="34" spans="1:7" x14ac:dyDescent="0.2">
      <c r="A34" s="2">
        <v>46</v>
      </c>
      <c r="B34" s="2">
        <v>450</v>
      </c>
      <c r="C34" s="2"/>
      <c r="D34" s="2"/>
    </row>
    <row r="35" spans="1:7" x14ac:dyDescent="0.2">
      <c r="A35" s="2">
        <v>48</v>
      </c>
      <c r="B35" s="2">
        <v>450</v>
      </c>
      <c r="C35" s="2"/>
      <c r="D35" s="2"/>
    </row>
    <row r="36" spans="1:7" x14ac:dyDescent="0.2">
      <c r="A36" s="2">
        <v>50</v>
      </c>
      <c r="B36" s="2">
        <v>450</v>
      </c>
      <c r="C36" s="2"/>
      <c r="D36" s="2"/>
    </row>
    <row r="37" spans="1:7" x14ac:dyDescent="0.2">
      <c r="A37" s="2">
        <v>52</v>
      </c>
      <c r="B37" s="2">
        <v>450</v>
      </c>
      <c r="C37" s="2"/>
      <c r="D37" s="2"/>
    </row>
    <row r="38" spans="1:7" x14ac:dyDescent="0.2">
      <c r="A38" s="2">
        <v>54</v>
      </c>
      <c r="B38" s="2">
        <v>450</v>
      </c>
      <c r="C38" s="2"/>
      <c r="D38" s="2"/>
      <c r="G38" s="11"/>
    </row>
    <row r="39" spans="1:7" x14ac:dyDescent="0.2">
      <c r="A39" s="2">
        <v>56</v>
      </c>
      <c r="B39" s="2">
        <v>450</v>
      </c>
      <c r="C39" s="2"/>
      <c r="D39" s="2"/>
    </row>
    <row r="40" spans="1:7" x14ac:dyDescent="0.2">
      <c r="A40" s="2">
        <v>58</v>
      </c>
      <c r="B40" s="2">
        <v>450</v>
      </c>
      <c r="C40" s="2"/>
      <c r="D40" s="2"/>
    </row>
    <row r="41" spans="1:7" x14ac:dyDescent="0.2">
      <c r="A41" s="2">
        <v>60</v>
      </c>
      <c r="B41" s="2">
        <v>450</v>
      </c>
      <c r="C41" s="2"/>
      <c r="D41" s="2"/>
    </row>
    <row r="42" spans="1:7" x14ac:dyDescent="0.2">
      <c r="A42" s="2">
        <v>62</v>
      </c>
      <c r="B42" s="2">
        <v>450</v>
      </c>
      <c r="C42" s="2">
        <v>544</v>
      </c>
      <c r="D42" s="2"/>
      <c r="F42" s="11"/>
    </row>
    <row r="43" spans="1:7" x14ac:dyDescent="0.2">
      <c r="A43" s="2">
        <v>64</v>
      </c>
      <c r="B43" s="2">
        <v>450</v>
      </c>
      <c r="C43" s="2">
        <v>592</v>
      </c>
      <c r="D43" s="2"/>
    </row>
    <row r="44" spans="1:7" x14ac:dyDescent="0.2">
      <c r="A44" s="2">
        <v>66</v>
      </c>
      <c r="B44" s="2">
        <v>450</v>
      </c>
      <c r="C44" s="2">
        <v>636</v>
      </c>
      <c r="D44" s="2"/>
    </row>
    <row r="45" spans="1:7" x14ac:dyDescent="0.2">
      <c r="A45" s="2">
        <v>68</v>
      </c>
      <c r="B45" s="2">
        <v>450</v>
      </c>
      <c r="C45" s="2">
        <v>686</v>
      </c>
      <c r="D45" s="2"/>
    </row>
    <row r="46" spans="1:7" x14ac:dyDescent="0.2">
      <c r="A46" s="2">
        <v>70</v>
      </c>
      <c r="B46" s="2">
        <v>450</v>
      </c>
      <c r="C46" s="2">
        <v>693</v>
      </c>
      <c r="D46" s="7" t="s">
        <v>25</v>
      </c>
    </row>
    <row r="47" spans="1:7" x14ac:dyDescent="0.2">
      <c r="A47" s="2">
        <v>72</v>
      </c>
      <c r="B47" s="2">
        <v>450</v>
      </c>
      <c r="C47" s="2">
        <v>710</v>
      </c>
      <c r="D47" s="7" t="s">
        <v>10</v>
      </c>
    </row>
    <row r="48" spans="1:7" x14ac:dyDescent="0.2">
      <c r="A48" s="2">
        <v>74</v>
      </c>
      <c r="B48" s="2">
        <v>450</v>
      </c>
      <c r="C48" s="2">
        <v>657</v>
      </c>
      <c r="D48" s="7"/>
    </row>
    <row r="49" spans="1:7" x14ac:dyDescent="0.2">
      <c r="A49" s="2">
        <v>76</v>
      </c>
      <c r="B49" s="2">
        <v>450</v>
      </c>
      <c r="C49" s="2">
        <v>741</v>
      </c>
      <c r="D49" s="7"/>
    </row>
    <row r="50" spans="1:7" x14ac:dyDescent="0.2">
      <c r="A50" s="2">
        <v>78</v>
      </c>
      <c r="B50" s="2">
        <v>450</v>
      </c>
      <c r="C50" s="2">
        <v>749</v>
      </c>
      <c r="D50" s="7"/>
    </row>
    <row r="51" spans="1:7" x14ac:dyDescent="0.2">
      <c r="A51" s="2">
        <v>80</v>
      </c>
      <c r="B51" s="2">
        <v>450</v>
      </c>
      <c r="C51" s="2">
        <v>783</v>
      </c>
      <c r="D51" s="2"/>
    </row>
    <row r="52" spans="1:7" x14ac:dyDescent="0.2">
      <c r="A52" s="2">
        <v>82</v>
      </c>
      <c r="B52" s="2">
        <v>450</v>
      </c>
      <c r="C52" s="2">
        <v>810</v>
      </c>
      <c r="D52" s="2"/>
    </row>
    <row r="53" spans="1:7" x14ac:dyDescent="0.2">
      <c r="A53" s="2">
        <v>84</v>
      </c>
      <c r="B53" s="2">
        <v>450</v>
      </c>
      <c r="C53" s="2">
        <v>835</v>
      </c>
      <c r="D53" s="2"/>
      <c r="G53" s="11"/>
    </row>
    <row r="54" spans="1:7" x14ac:dyDescent="0.2">
      <c r="A54" s="2">
        <v>86</v>
      </c>
      <c r="B54" s="2">
        <v>450</v>
      </c>
      <c r="C54" s="2">
        <v>860</v>
      </c>
      <c r="D54" s="2"/>
    </row>
    <row r="55" spans="1:7" x14ac:dyDescent="0.2">
      <c r="A55" s="2">
        <v>88</v>
      </c>
      <c r="B55" s="2">
        <v>450</v>
      </c>
      <c r="C55" s="2">
        <v>887</v>
      </c>
      <c r="D55" s="2"/>
    </row>
    <row r="56" spans="1:7" x14ac:dyDescent="0.2">
      <c r="A56" s="2">
        <v>90</v>
      </c>
      <c r="B56" s="2">
        <v>450</v>
      </c>
      <c r="C56" s="2">
        <v>916</v>
      </c>
      <c r="D56" s="2"/>
    </row>
    <row r="57" spans="1:7" x14ac:dyDescent="0.2">
      <c r="A57" s="2">
        <v>92</v>
      </c>
      <c r="B57" s="2">
        <v>450</v>
      </c>
      <c r="C57" s="2">
        <v>945</v>
      </c>
      <c r="D57" s="2"/>
      <c r="F57" s="11"/>
    </row>
    <row r="58" spans="1:7" x14ac:dyDescent="0.2">
      <c r="A58" s="2">
        <v>94</v>
      </c>
      <c r="B58" s="2">
        <v>450</v>
      </c>
      <c r="C58" s="2">
        <v>950</v>
      </c>
      <c r="D58" s="2" t="s">
        <v>9</v>
      </c>
    </row>
    <row r="60" spans="1:7" x14ac:dyDescent="0.2">
      <c r="A60" s="4"/>
    </row>
  </sheetData>
  <mergeCells count="1">
    <mergeCell ref="D1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B6CD-9E0D-CD47-A629-99B1D6557D25}">
  <sheetPr codeName="Sheet5"/>
  <dimension ref="B4:F50"/>
  <sheetViews>
    <sheetView tabSelected="1" topLeftCell="A32" zoomScale="175" workbookViewId="0">
      <selection activeCell="G36" sqref="G36"/>
    </sheetView>
  </sheetViews>
  <sheetFormatPr baseColWidth="10" defaultRowHeight="16" x14ac:dyDescent="0.2"/>
  <cols>
    <col min="3" max="3" width="13.1640625" bestFit="1" customWidth="1"/>
    <col min="4" max="4" width="26" customWidth="1"/>
    <col min="5" max="5" width="14.1640625" customWidth="1"/>
    <col min="6" max="6" width="20.83203125" hidden="1" customWidth="1"/>
  </cols>
  <sheetData>
    <row r="4" spans="2:6" x14ac:dyDescent="0.2">
      <c r="C4" t="s">
        <v>29</v>
      </c>
      <c r="D4" t="s">
        <v>30</v>
      </c>
      <c r="E4" t="s">
        <v>31</v>
      </c>
      <c r="F4" t="s">
        <v>32</v>
      </c>
    </row>
    <row r="5" spans="2:6" x14ac:dyDescent="0.2">
      <c r="C5">
        <v>450</v>
      </c>
      <c r="D5" s="12">
        <v>572</v>
      </c>
      <c r="E5">
        <v>91</v>
      </c>
      <c r="F5" s="8">
        <f>Table1[[#This Row],[Energy Consumption (kWh)]]/Table1[[#This Row],[Duration (min)]]</f>
        <v>6.2857142857142856</v>
      </c>
    </row>
    <row r="6" spans="2:6" x14ac:dyDescent="0.2">
      <c r="C6">
        <v>450</v>
      </c>
      <c r="D6" s="12">
        <v>602</v>
      </c>
      <c r="E6">
        <v>95</v>
      </c>
      <c r="F6" s="8">
        <f>Table1[[#This Row],[Energy Consumption (kWh)]]/Table1[[#This Row],[Duration (min)]]</f>
        <v>6.3368421052631581</v>
      </c>
    </row>
    <row r="7" spans="2:6" x14ac:dyDescent="0.2">
      <c r="C7">
        <v>450</v>
      </c>
      <c r="D7" s="12">
        <v>604</v>
      </c>
      <c r="E7">
        <v>95</v>
      </c>
      <c r="F7" s="8">
        <f>Table1[[#This Row],[Energy Consumption (kWh)]]/Table1[[#This Row],[Duration (min)]]</f>
        <v>6.3578947368421055</v>
      </c>
    </row>
    <row r="8" spans="2:6" x14ac:dyDescent="0.2">
      <c r="C8">
        <v>450</v>
      </c>
      <c r="D8" s="12">
        <v>593</v>
      </c>
      <c r="E8">
        <v>94</v>
      </c>
      <c r="F8" s="8">
        <f>Table1[[#This Row],[Energy Consumption (kWh)]]/Table1[[#This Row],[Duration (min)]]</f>
        <v>6.3085106382978724</v>
      </c>
    </row>
    <row r="9" spans="2:6" x14ac:dyDescent="0.2">
      <c r="C9">
        <v>500</v>
      </c>
      <c r="D9" s="12">
        <v>545</v>
      </c>
      <c r="E9">
        <v>84</v>
      </c>
      <c r="F9" s="8">
        <f>Table1[[#This Row],[Energy Consumption (kWh)]]/Table1[[#This Row],[Duration (min)]]</f>
        <v>6.4880952380952381</v>
      </c>
    </row>
    <row r="10" spans="2:6" x14ac:dyDescent="0.2">
      <c r="C10">
        <v>550</v>
      </c>
      <c r="D10" s="12">
        <v>547</v>
      </c>
      <c r="E10">
        <v>86</v>
      </c>
      <c r="F10" s="8">
        <f>Table1[[#This Row],[Energy Consumption (kWh)]]/Table1[[#This Row],[Duration (min)]]</f>
        <v>6.3604651162790695</v>
      </c>
    </row>
    <row r="11" spans="2:6" x14ac:dyDescent="0.2">
      <c r="C11">
        <v>550</v>
      </c>
      <c r="D11" s="12">
        <v>547</v>
      </c>
      <c r="E11">
        <v>88</v>
      </c>
      <c r="F11" s="8">
        <f>Table1[[#This Row],[Energy Consumption (kWh)]]/Table1[[#This Row],[Duration (min)]]</f>
        <v>6.2159090909090908</v>
      </c>
    </row>
    <row r="15" spans="2:6" x14ac:dyDescent="0.2">
      <c r="B15">
        <f>CORREL(Table1[Max Energy],Table1[Energy Consumption (kWh)])</f>
        <v>-0.85543500412494256</v>
      </c>
      <c r="D15" t="s">
        <v>34</v>
      </c>
    </row>
    <row r="16" spans="2:6" x14ac:dyDescent="0.2">
      <c r="B16">
        <f>CORREL(Table1[Max Energy],Table1[Duration (min)])</f>
        <v>-0.78362361806937986</v>
      </c>
      <c r="D16" t="s">
        <v>33</v>
      </c>
    </row>
    <row r="17" spans="2:5" x14ac:dyDescent="0.2">
      <c r="B17">
        <f>CORREL(Table1[Energy Consumption (kWh)],Table1[Duration (min)])</f>
        <v>0.96796922818408027</v>
      </c>
      <c r="D17" t="s">
        <v>35</v>
      </c>
    </row>
    <row r="21" spans="2:5" x14ac:dyDescent="0.2">
      <c r="C21" s="20" t="s">
        <v>29</v>
      </c>
      <c r="D21" s="20" t="s">
        <v>30</v>
      </c>
      <c r="E21" s="21" t="s">
        <v>31</v>
      </c>
    </row>
    <row r="22" spans="2:5" x14ac:dyDescent="0.2">
      <c r="C22" s="16">
        <v>450</v>
      </c>
      <c r="D22" s="18">
        <v>572</v>
      </c>
      <c r="E22" s="14">
        <v>91</v>
      </c>
    </row>
    <row r="23" spans="2:5" x14ac:dyDescent="0.2">
      <c r="C23" s="17">
        <v>450</v>
      </c>
      <c r="D23" s="19">
        <v>602</v>
      </c>
      <c r="E23" s="15">
        <v>95</v>
      </c>
    </row>
    <row r="24" spans="2:5" x14ac:dyDescent="0.2">
      <c r="C24" s="16">
        <v>450</v>
      </c>
      <c r="D24" s="18">
        <v>604</v>
      </c>
      <c r="E24" s="16">
        <v>95</v>
      </c>
    </row>
    <row r="25" spans="2:5" x14ac:dyDescent="0.2">
      <c r="C25" s="17">
        <v>450</v>
      </c>
      <c r="D25" s="19">
        <v>593</v>
      </c>
      <c r="E25" s="17">
        <v>94</v>
      </c>
    </row>
    <row r="26" spans="2:5" x14ac:dyDescent="0.2">
      <c r="C26" s="17">
        <v>450</v>
      </c>
      <c r="D26" s="19">
        <v>614</v>
      </c>
      <c r="E26" s="17">
        <v>92</v>
      </c>
    </row>
    <row r="27" spans="2:5" x14ac:dyDescent="0.2">
      <c r="C27" s="17">
        <v>450</v>
      </c>
      <c r="D27" s="19">
        <v>576</v>
      </c>
      <c r="E27" s="17">
        <v>88</v>
      </c>
    </row>
    <row r="28" spans="2:5" x14ac:dyDescent="0.2">
      <c r="C28" s="17">
        <v>475</v>
      </c>
      <c r="D28" s="19">
        <v>613</v>
      </c>
      <c r="E28" s="17">
        <v>94</v>
      </c>
    </row>
    <row r="29" spans="2:5" x14ac:dyDescent="0.2">
      <c r="C29" s="17">
        <v>475</v>
      </c>
      <c r="D29" s="19">
        <v>563</v>
      </c>
      <c r="E29" s="17">
        <v>75</v>
      </c>
    </row>
    <row r="30" spans="2:5" x14ac:dyDescent="0.2">
      <c r="C30" s="17">
        <v>500</v>
      </c>
      <c r="D30" s="19">
        <v>585</v>
      </c>
      <c r="E30" s="17">
        <v>84</v>
      </c>
    </row>
    <row r="31" spans="2:5" x14ac:dyDescent="0.2">
      <c r="C31" s="17">
        <v>500</v>
      </c>
      <c r="D31" s="19">
        <v>585</v>
      </c>
      <c r="E31" s="17">
        <v>84</v>
      </c>
    </row>
    <row r="32" spans="2:5" x14ac:dyDescent="0.2">
      <c r="C32" s="16">
        <v>500</v>
      </c>
      <c r="D32" s="18">
        <v>545</v>
      </c>
      <c r="E32" s="16">
        <v>84</v>
      </c>
    </row>
    <row r="33" spans="3:5" x14ac:dyDescent="0.2">
      <c r="C33" s="17">
        <v>550</v>
      </c>
      <c r="D33" s="19">
        <v>547</v>
      </c>
      <c r="E33" s="17">
        <v>86</v>
      </c>
    </row>
    <row r="34" spans="3:5" x14ac:dyDescent="0.2">
      <c r="C34" s="24">
        <v>550</v>
      </c>
      <c r="D34" s="25">
        <v>547</v>
      </c>
      <c r="E34" s="24">
        <v>88</v>
      </c>
    </row>
    <row r="41" spans="3:5" x14ac:dyDescent="0.2">
      <c r="C41" s="20" t="s">
        <v>29</v>
      </c>
      <c r="D41" s="20" t="s">
        <v>30</v>
      </c>
      <c r="E41" s="21" t="s">
        <v>31</v>
      </c>
    </row>
    <row r="42" spans="3:5" x14ac:dyDescent="0.2">
      <c r="C42" s="17">
        <v>450</v>
      </c>
      <c r="D42" s="19">
        <v>593</v>
      </c>
      <c r="E42" s="17">
        <v>94</v>
      </c>
    </row>
    <row r="43" spans="3:5" x14ac:dyDescent="0.2">
      <c r="C43" s="17">
        <v>450</v>
      </c>
      <c r="D43" s="19">
        <v>614</v>
      </c>
      <c r="E43" s="17">
        <v>92</v>
      </c>
    </row>
    <row r="44" spans="3:5" x14ac:dyDescent="0.2">
      <c r="C44" s="17">
        <v>450</v>
      </c>
      <c r="D44" s="19">
        <v>576</v>
      </c>
      <c r="E44" s="17">
        <v>88</v>
      </c>
    </row>
    <row r="45" spans="3:5" x14ac:dyDescent="0.2">
      <c r="C45" s="17">
        <v>475</v>
      </c>
      <c r="D45" s="19">
        <v>613</v>
      </c>
      <c r="E45" s="17">
        <v>94</v>
      </c>
    </row>
    <row r="46" spans="3:5" x14ac:dyDescent="0.2">
      <c r="C46" s="17">
        <v>475</v>
      </c>
      <c r="D46" s="19">
        <v>579</v>
      </c>
      <c r="E46" s="17">
        <v>90</v>
      </c>
    </row>
    <row r="47" spans="3:5" x14ac:dyDescent="0.2">
      <c r="C47" s="17">
        <v>500</v>
      </c>
      <c r="D47" s="19">
        <v>585</v>
      </c>
      <c r="E47" s="17">
        <v>84</v>
      </c>
    </row>
    <row r="48" spans="3:5" x14ac:dyDescent="0.2">
      <c r="C48" s="22">
        <v>500</v>
      </c>
      <c r="D48" s="23">
        <v>585</v>
      </c>
      <c r="E48" s="22">
        <v>84</v>
      </c>
    </row>
    <row r="49" spans="3:5" x14ac:dyDescent="0.2">
      <c r="C49" s="22">
        <v>500</v>
      </c>
      <c r="D49" s="23">
        <v>576</v>
      </c>
      <c r="E49" s="22">
        <v>84</v>
      </c>
    </row>
    <row r="50" spans="3:5" x14ac:dyDescent="0.2">
      <c r="C50" s="22">
        <v>500</v>
      </c>
      <c r="D50" s="23">
        <v>576</v>
      </c>
      <c r="E50" s="22">
        <v>86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121E-68C5-3F40-BAF1-FF57B6D9BA27}">
  <sheetPr codeName="Sheet6">
    <tabColor theme="5" tint="0.79998168889431442"/>
  </sheetPr>
  <dimension ref="A1:G59"/>
  <sheetViews>
    <sheetView zoomScale="150" workbookViewId="0">
      <selection activeCell="D21" sqref="D21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</cols>
  <sheetData>
    <row r="1" spans="1:6" x14ac:dyDescent="0.2">
      <c r="A1" t="s">
        <v>13</v>
      </c>
      <c r="B1" s="5">
        <v>45972</v>
      </c>
      <c r="D1" s="29" t="s">
        <v>45</v>
      </c>
    </row>
    <row r="2" spans="1:6" x14ac:dyDescent="0.2">
      <c r="A2" t="s">
        <v>14</v>
      </c>
      <c r="B2" s="1">
        <v>0.39583333333333331</v>
      </c>
      <c r="D2" s="29"/>
    </row>
    <row r="3" spans="1:6" x14ac:dyDescent="0.2">
      <c r="A3" t="s">
        <v>15</v>
      </c>
      <c r="B3" s="1">
        <v>0.46180555555555558</v>
      </c>
      <c r="D3" s="29"/>
    </row>
    <row r="4" spans="1:6" ht="16" customHeight="1" x14ac:dyDescent="0.2">
      <c r="A4" t="s">
        <v>20</v>
      </c>
      <c r="B4" s="10">
        <v>397</v>
      </c>
      <c r="C4" t="s">
        <v>19</v>
      </c>
      <c r="D4" s="29"/>
    </row>
    <row r="5" spans="1:6" x14ac:dyDescent="0.2">
      <c r="A5" t="s">
        <v>21</v>
      </c>
      <c r="B5" s="10">
        <v>71</v>
      </c>
      <c r="C5" t="s">
        <v>19</v>
      </c>
      <c r="D5" s="29"/>
    </row>
    <row r="6" spans="1:6" x14ac:dyDescent="0.2">
      <c r="A6" t="s">
        <v>22</v>
      </c>
      <c r="B6" s="9">
        <v>1.1000000000000001</v>
      </c>
      <c r="C6" t="s">
        <v>19</v>
      </c>
      <c r="D6" t="s">
        <v>37</v>
      </c>
    </row>
    <row r="7" spans="1:6" x14ac:dyDescent="0.2">
      <c r="A7" t="s">
        <v>23</v>
      </c>
      <c r="B7" s="10">
        <v>40</v>
      </c>
      <c r="C7" t="s">
        <v>19</v>
      </c>
      <c r="D7" t="s">
        <v>40</v>
      </c>
      <c r="E7">
        <v>446</v>
      </c>
      <c r="F7" t="s">
        <v>41</v>
      </c>
    </row>
    <row r="8" spans="1:6" x14ac:dyDescent="0.2">
      <c r="A8" t="s">
        <v>24</v>
      </c>
      <c r="B8" s="10">
        <v>40</v>
      </c>
      <c r="C8" t="s">
        <v>19</v>
      </c>
      <c r="D8" t="s">
        <v>43</v>
      </c>
    </row>
    <row r="9" spans="1:6" x14ac:dyDescent="0.2">
      <c r="B9" s="1"/>
      <c r="D9" s="6"/>
    </row>
    <row r="10" spans="1:6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6" x14ac:dyDescent="0.2">
      <c r="A11" s="2">
        <v>0</v>
      </c>
      <c r="B11" s="2">
        <v>100</v>
      </c>
      <c r="C11" s="2"/>
      <c r="D11" s="2"/>
      <c r="F11" s="1"/>
    </row>
    <row r="12" spans="1:6" x14ac:dyDescent="0.2">
      <c r="A12" s="2">
        <v>2</v>
      </c>
      <c r="B12" s="2">
        <v>100</v>
      </c>
      <c r="C12" s="2"/>
      <c r="D12" s="2"/>
      <c r="F12" s="1"/>
    </row>
    <row r="13" spans="1:6" x14ac:dyDescent="0.2">
      <c r="A13" s="2">
        <v>4</v>
      </c>
      <c r="B13" s="2">
        <v>100</v>
      </c>
      <c r="C13" s="2"/>
      <c r="D13" s="2"/>
      <c r="F13" s="1"/>
    </row>
    <row r="14" spans="1:6" x14ac:dyDescent="0.2">
      <c r="A14" s="2">
        <v>6</v>
      </c>
      <c r="B14" s="2">
        <v>100</v>
      </c>
      <c r="C14" s="2"/>
      <c r="D14" s="2"/>
      <c r="F14" s="1"/>
    </row>
    <row r="15" spans="1:6" x14ac:dyDescent="0.2">
      <c r="A15" s="2">
        <v>8</v>
      </c>
      <c r="B15" s="2">
        <v>100</v>
      </c>
      <c r="C15" s="2"/>
      <c r="D15" s="2"/>
      <c r="F15" s="1"/>
    </row>
    <row r="16" spans="1:6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2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450</v>
      </c>
      <c r="C29" s="2"/>
      <c r="D29" s="7" t="s">
        <v>38</v>
      </c>
    </row>
    <row r="30" spans="1:4" x14ac:dyDescent="0.2">
      <c r="A30" s="2">
        <v>38</v>
      </c>
      <c r="B30" s="2">
        <v>450</v>
      </c>
      <c r="C30" s="2"/>
      <c r="D30" s="2"/>
    </row>
    <row r="31" spans="1:4" x14ac:dyDescent="0.2">
      <c r="A31" s="2">
        <v>40</v>
      </c>
      <c r="B31" s="2">
        <v>450</v>
      </c>
      <c r="C31" s="2"/>
      <c r="D31" s="2"/>
    </row>
    <row r="32" spans="1:4" x14ac:dyDescent="0.2">
      <c r="A32" s="2">
        <v>42</v>
      </c>
      <c r="B32" s="2">
        <v>450</v>
      </c>
      <c r="C32" s="2"/>
      <c r="D32" s="2"/>
    </row>
    <row r="33" spans="1:7" x14ac:dyDescent="0.2">
      <c r="A33" s="2">
        <v>44</v>
      </c>
      <c r="B33" s="2">
        <v>450</v>
      </c>
      <c r="C33" s="2"/>
      <c r="D33" s="2"/>
    </row>
    <row r="34" spans="1:7" x14ac:dyDescent="0.2">
      <c r="A34" s="2">
        <v>46</v>
      </c>
      <c r="B34" s="2">
        <v>450</v>
      </c>
      <c r="C34" s="2"/>
      <c r="D34" s="2"/>
    </row>
    <row r="35" spans="1:7" x14ac:dyDescent="0.2">
      <c r="A35" s="2">
        <v>48</v>
      </c>
      <c r="B35" s="2">
        <v>450</v>
      </c>
      <c r="C35" s="2"/>
      <c r="D35" s="2"/>
    </row>
    <row r="36" spans="1:7" x14ac:dyDescent="0.2">
      <c r="A36" s="2">
        <v>50</v>
      </c>
      <c r="B36" s="2">
        <v>450</v>
      </c>
      <c r="C36" s="2"/>
      <c r="D36" s="2"/>
    </row>
    <row r="37" spans="1:7" x14ac:dyDescent="0.2">
      <c r="A37" s="2">
        <v>52</v>
      </c>
      <c r="B37" s="2">
        <v>450</v>
      </c>
      <c r="C37" s="2"/>
      <c r="D37" s="2"/>
    </row>
    <row r="38" spans="1:7" x14ac:dyDescent="0.2">
      <c r="A38" s="2">
        <v>54</v>
      </c>
      <c r="B38" s="2">
        <v>450</v>
      </c>
      <c r="C38" s="2"/>
      <c r="D38" s="2"/>
      <c r="G38" s="11"/>
    </row>
    <row r="39" spans="1:7" x14ac:dyDescent="0.2">
      <c r="A39" s="2">
        <v>56</v>
      </c>
      <c r="B39" s="2">
        <v>450</v>
      </c>
      <c r="C39" s="2"/>
      <c r="D39" s="2"/>
    </row>
    <row r="40" spans="1:7" x14ac:dyDescent="0.2">
      <c r="A40" s="2">
        <v>58</v>
      </c>
      <c r="B40" s="2">
        <v>450</v>
      </c>
      <c r="C40" s="2"/>
      <c r="D40" s="2"/>
    </row>
    <row r="41" spans="1:7" x14ac:dyDescent="0.2">
      <c r="A41" s="2">
        <v>60</v>
      </c>
      <c r="B41" s="2">
        <v>450</v>
      </c>
      <c r="C41" s="2"/>
      <c r="D41" s="2"/>
    </row>
    <row r="42" spans="1:7" x14ac:dyDescent="0.2">
      <c r="A42" s="2">
        <v>62</v>
      </c>
      <c r="B42" s="2">
        <v>450</v>
      </c>
      <c r="C42" s="2"/>
      <c r="D42" s="2"/>
      <c r="F42" s="11"/>
    </row>
    <row r="43" spans="1:7" x14ac:dyDescent="0.2">
      <c r="A43" s="2">
        <v>64</v>
      </c>
      <c r="B43" s="2">
        <v>450</v>
      </c>
      <c r="C43" s="2">
        <v>395</v>
      </c>
      <c r="D43" s="7" t="s">
        <v>25</v>
      </c>
    </row>
    <row r="44" spans="1:7" x14ac:dyDescent="0.2">
      <c r="A44" s="2">
        <v>66</v>
      </c>
      <c r="B44" s="2">
        <v>450</v>
      </c>
      <c r="C44" s="2">
        <v>575</v>
      </c>
      <c r="D44" s="7" t="s">
        <v>25</v>
      </c>
    </row>
    <row r="45" spans="1:7" x14ac:dyDescent="0.2">
      <c r="A45" s="2">
        <v>68</v>
      </c>
      <c r="B45" s="2">
        <v>450</v>
      </c>
      <c r="C45" s="2">
        <v>606</v>
      </c>
      <c r="D45" s="7" t="s">
        <v>25</v>
      </c>
    </row>
    <row r="46" spans="1:7" x14ac:dyDescent="0.2">
      <c r="A46" s="2">
        <v>70</v>
      </c>
      <c r="B46" s="2">
        <v>450</v>
      </c>
      <c r="C46" s="2">
        <v>621</v>
      </c>
      <c r="D46" s="7" t="s">
        <v>10</v>
      </c>
    </row>
    <row r="47" spans="1:7" x14ac:dyDescent="0.2">
      <c r="A47" s="2">
        <v>72</v>
      </c>
      <c r="B47" s="2">
        <v>450</v>
      </c>
      <c r="C47" s="2">
        <v>630</v>
      </c>
      <c r="D47" s="7" t="s">
        <v>10</v>
      </c>
    </row>
    <row r="48" spans="1:7" x14ac:dyDescent="0.2">
      <c r="A48" s="2">
        <v>74</v>
      </c>
      <c r="B48" s="2">
        <v>450</v>
      </c>
      <c r="C48" s="2">
        <v>654</v>
      </c>
      <c r="D48" s="7" t="s">
        <v>10</v>
      </c>
    </row>
    <row r="49" spans="1:7" x14ac:dyDescent="0.2">
      <c r="A49" s="2">
        <v>76</v>
      </c>
      <c r="B49" s="2">
        <v>450</v>
      </c>
      <c r="C49" s="2">
        <v>693</v>
      </c>
      <c r="D49" s="7"/>
    </row>
    <row r="50" spans="1:7" x14ac:dyDescent="0.2">
      <c r="A50" s="2">
        <v>78</v>
      </c>
      <c r="B50" s="2">
        <v>450</v>
      </c>
      <c r="C50" s="2">
        <v>717</v>
      </c>
      <c r="D50" s="7"/>
    </row>
    <row r="51" spans="1:7" x14ac:dyDescent="0.2">
      <c r="A51" s="2">
        <v>80</v>
      </c>
      <c r="B51" s="2">
        <v>450</v>
      </c>
      <c r="C51" s="2">
        <v>744</v>
      </c>
      <c r="D51" s="2"/>
    </row>
    <row r="52" spans="1:7" x14ac:dyDescent="0.2">
      <c r="A52" s="2">
        <v>82</v>
      </c>
      <c r="B52" s="2">
        <v>450</v>
      </c>
      <c r="C52" s="2">
        <v>771</v>
      </c>
      <c r="D52" s="2"/>
    </row>
    <row r="53" spans="1:7" x14ac:dyDescent="0.2">
      <c r="A53" s="2">
        <v>84</v>
      </c>
      <c r="B53" s="2">
        <v>450</v>
      </c>
      <c r="C53" s="2">
        <v>806</v>
      </c>
      <c r="D53" s="2"/>
      <c r="G53" s="11"/>
    </row>
    <row r="54" spans="1:7" x14ac:dyDescent="0.2">
      <c r="A54" s="2">
        <v>86</v>
      </c>
      <c r="B54" s="2">
        <v>450</v>
      </c>
      <c r="C54" s="2">
        <v>844</v>
      </c>
      <c r="D54" s="2"/>
    </row>
    <row r="55" spans="1:7" x14ac:dyDescent="0.2">
      <c r="A55" s="2">
        <v>88</v>
      </c>
      <c r="B55" s="2">
        <v>450</v>
      </c>
      <c r="C55" s="2">
        <v>894</v>
      </c>
      <c r="D55" s="2"/>
    </row>
    <row r="56" spans="1:7" x14ac:dyDescent="0.2">
      <c r="A56" s="2">
        <v>90</v>
      </c>
      <c r="B56" s="2">
        <v>450</v>
      </c>
      <c r="C56" s="2">
        <v>928</v>
      </c>
      <c r="D56" s="2"/>
    </row>
    <row r="57" spans="1:7" x14ac:dyDescent="0.2">
      <c r="A57" s="2">
        <v>92</v>
      </c>
      <c r="B57" s="2">
        <v>450</v>
      </c>
      <c r="C57" s="2">
        <v>950</v>
      </c>
      <c r="D57" s="2" t="s">
        <v>9</v>
      </c>
      <c r="F57" s="11"/>
    </row>
    <row r="59" spans="1:7" x14ac:dyDescent="0.2">
      <c r="A59" s="4"/>
    </row>
  </sheetData>
  <mergeCells count="1">
    <mergeCell ref="D1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9492-0D71-4C4E-840E-474218244BD0}">
  <sheetPr codeName="Sheet7">
    <tabColor theme="5" tint="0.79998168889431442"/>
  </sheetPr>
  <dimension ref="A1:G57"/>
  <sheetViews>
    <sheetView zoomScale="150" workbookViewId="0">
      <selection activeCell="D8" sqref="D8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</cols>
  <sheetData>
    <row r="1" spans="1:6" x14ac:dyDescent="0.2">
      <c r="A1" t="s">
        <v>13</v>
      </c>
      <c r="B1" s="5">
        <v>45972</v>
      </c>
      <c r="D1" s="29" t="s">
        <v>46</v>
      </c>
    </row>
    <row r="2" spans="1:6" x14ac:dyDescent="0.2">
      <c r="A2" t="s">
        <v>14</v>
      </c>
      <c r="B2" s="1">
        <v>0.52083333333333337</v>
      </c>
      <c r="D2" s="29"/>
    </row>
    <row r="3" spans="1:6" x14ac:dyDescent="0.2">
      <c r="A3" t="s">
        <v>15</v>
      </c>
      <c r="B3" s="1">
        <v>0.58333333333333337</v>
      </c>
      <c r="D3" s="29"/>
    </row>
    <row r="4" spans="1:6" ht="16" customHeight="1" x14ac:dyDescent="0.2">
      <c r="A4" t="s">
        <v>20</v>
      </c>
      <c r="B4" s="10">
        <v>396</v>
      </c>
      <c r="C4" t="s">
        <v>19</v>
      </c>
      <c r="D4" s="29"/>
    </row>
    <row r="5" spans="1:6" x14ac:dyDescent="0.2">
      <c r="A5" t="s">
        <v>21</v>
      </c>
      <c r="B5" s="10">
        <v>70</v>
      </c>
      <c r="C5" t="s">
        <v>19</v>
      </c>
      <c r="D5" s="29"/>
    </row>
    <row r="6" spans="1:6" x14ac:dyDescent="0.2">
      <c r="A6" t="s">
        <v>22</v>
      </c>
      <c r="B6" s="9">
        <v>1.1000000000000001</v>
      </c>
      <c r="C6" t="s">
        <v>19</v>
      </c>
      <c r="D6" t="s">
        <v>37</v>
      </c>
    </row>
    <row r="7" spans="1:6" x14ac:dyDescent="0.2">
      <c r="A7" t="s">
        <v>23</v>
      </c>
      <c r="B7" s="10">
        <v>40</v>
      </c>
      <c r="C7" t="s">
        <v>19</v>
      </c>
      <c r="D7" t="s">
        <v>40</v>
      </c>
      <c r="E7">
        <v>446</v>
      </c>
      <c r="F7" t="s">
        <v>41</v>
      </c>
    </row>
    <row r="8" spans="1:6" x14ac:dyDescent="0.2">
      <c r="A8" t="s">
        <v>24</v>
      </c>
      <c r="B8" s="10">
        <v>41</v>
      </c>
      <c r="C8" t="s">
        <v>19</v>
      </c>
      <c r="D8" t="s">
        <v>47</v>
      </c>
    </row>
    <row r="9" spans="1:6" x14ac:dyDescent="0.2">
      <c r="B9" s="1"/>
      <c r="D9" s="6"/>
    </row>
    <row r="10" spans="1:6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6" x14ac:dyDescent="0.2">
      <c r="A11" s="2">
        <v>0</v>
      </c>
      <c r="B11" s="2">
        <v>100</v>
      </c>
      <c r="C11" s="2"/>
      <c r="D11" s="2"/>
      <c r="F11" s="1"/>
    </row>
    <row r="12" spans="1:6" x14ac:dyDescent="0.2">
      <c r="A12" s="2">
        <v>2</v>
      </c>
      <c r="B12" s="2">
        <v>100</v>
      </c>
      <c r="C12" s="2"/>
      <c r="D12" s="2"/>
      <c r="F12" s="1"/>
    </row>
    <row r="13" spans="1:6" x14ac:dyDescent="0.2">
      <c r="A13" s="2">
        <v>4</v>
      </c>
      <c r="B13" s="2">
        <v>100</v>
      </c>
      <c r="C13" s="2"/>
      <c r="D13" s="2"/>
      <c r="F13" s="1"/>
    </row>
    <row r="14" spans="1:6" x14ac:dyDescent="0.2">
      <c r="A14" s="2">
        <v>6</v>
      </c>
      <c r="B14" s="2">
        <v>100</v>
      </c>
      <c r="C14" s="2"/>
      <c r="D14" s="2"/>
      <c r="F14" s="1"/>
    </row>
    <row r="15" spans="1:6" x14ac:dyDescent="0.2">
      <c r="A15" s="2">
        <v>8</v>
      </c>
      <c r="B15" s="2">
        <v>100</v>
      </c>
      <c r="C15" s="2"/>
      <c r="D15" s="2"/>
      <c r="F15" s="1"/>
    </row>
    <row r="16" spans="1:6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2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450</v>
      </c>
      <c r="C29" s="2"/>
      <c r="D29" s="7" t="s">
        <v>38</v>
      </c>
    </row>
    <row r="30" spans="1:4" x14ac:dyDescent="0.2">
      <c r="A30" s="2">
        <v>38</v>
      </c>
      <c r="B30" s="2">
        <v>450</v>
      </c>
      <c r="C30" s="2"/>
      <c r="D30" s="2"/>
    </row>
    <row r="31" spans="1:4" x14ac:dyDescent="0.2">
      <c r="A31" s="2">
        <v>40</v>
      </c>
      <c r="B31" s="2">
        <v>450</v>
      </c>
      <c r="C31" s="2"/>
      <c r="D31" s="2"/>
    </row>
    <row r="32" spans="1:4" x14ac:dyDescent="0.2">
      <c r="A32" s="2">
        <v>42</v>
      </c>
      <c r="B32" s="2">
        <v>450</v>
      </c>
      <c r="C32" s="2"/>
      <c r="D32" s="2"/>
    </row>
    <row r="33" spans="1:7" x14ac:dyDescent="0.2">
      <c r="A33" s="2">
        <v>44</v>
      </c>
      <c r="B33" s="2">
        <v>450</v>
      </c>
      <c r="C33" s="2"/>
      <c r="D33" s="2"/>
    </row>
    <row r="34" spans="1:7" x14ac:dyDescent="0.2">
      <c r="A34" s="2">
        <v>46</v>
      </c>
      <c r="B34" s="2">
        <v>450</v>
      </c>
      <c r="C34" s="2"/>
      <c r="D34" s="2"/>
    </row>
    <row r="35" spans="1:7" x14ac:dyDescent="0.2">
      <c r="A35" s="2">
        <v>48</v>
      </c>
      <c r="B35" s="2">
        <v>450</v>
      </c>
      <c r="C35" s="2"/>
      <c r="D35" s="2"/>
    </row>
    <row r="36" spans="1:7" x14ac:dyDescent="0.2">
      <c r="A36" s="2">
        <v>50</v>
      </c>
      <c r="B36" s="2">
        <v>450</v>
      </c>
      <c r="C36" s="2"/>
      <c r="D36" s="2"/>
    </row>
    <row r="37" spans="1:7" x14ac:dyDescent="0.2">
      <c r="A37" s="2">
        <v>52</v>
      </c>
      <c r="B37" s="2">
        <v>450</v>
      </c>
      <c r="C37" s="2"/>
      <c r="D37" s="2"/>
    </row>
    <row r="38" spans="1:7" x14ac:dyDescent="0.2">
      <c r="A38" s="2">
        <v>54</v>
      </c>
      <c r="B38" s="2">
        <v>450</v>
      </c>
      <c r="C38" s="2"/>
      <c r="D38" s="2"/>
      <c r="G38" s="11"/>
    </row>
    <row r="39" spans="1:7" x14ac:dyDescent="0.2">
      <c r="A39" s="2">
        <v>56</v>
      </c>
      <c r="B39" s="2">
        <v>450</v>
      </c>
      <c r="C39" s="2"/>
      <c r="D39" s="2"/>
    </row>
    <row r="40" spans="1:7" x14ac:dyDescent="0.2">
      <c r="A40" s="2">
        <v>58</v>
      </c>
      <c r="B40" s="2">
        <v>450</v>
      </c>
      <c r="C40" s="2"/>
      <c r="D40" s="2"/>
    </row>
    <row r="41" spans="1:7" x14ac:dyDescent="0.2">
      <c r="A41" s="2">
        <v>60</v>
      </c>
      <c r="B41" s="2">
        <v>450</v>
      </c>
      <c r="C41" s="2"/>
      <c r="D41" s="2"/>
    </row>
    <row r="42" spans="1:7" x14ac:dyDescent="0.2">
      <c r="A42" s="2">
        <v>62</v>
      </c>
      <c r="B42" s="2">
        <v>450</v>
      </c>
      <c r="C42" s="2"/>
      <c r="D42" s="2"/>
      <c r="F42" s="11" t="s">
        <v>36</v>
      </c>
    </row>
    <row r="43" spans="1:7" x14ac:dyDescent="0.2">
      <c r="A43" s="2">
        <v>64</v>
      </c>
      <c r="B43" s="2">
        <v>450</v>
      </c>
      <c r="C43" s="2">
        <v>596</v>
      </c>
      <c r="D43" s="7" t="s">
        <v>25</v>
      </c>
      <c r="F43">
        <v>596</v>
      </c>
    </row>
    <row r="44" spans="1:7" x14ac:dyDescent="0.2">
      <c r="A44" s="2">
        <v>66</v>
      </c>
      <c r="B44" s="2">
        <v>450</v>
      </c>
      <c r="C44" s="2">
        <v>675</v>
      </c>
      <c r="D44" s="7" t="s">
        <v>25</v>
      </c>
      <c r="F44">
        <v>675</v>
      </c>
    </row>
    <row r="45" spans="1:7" x14ac:dyDescent="0.2">
      <c r="A45" s="2">
        <v>68</v>
      </c>
      <c r="B45" s="2">
        <v>450</v>
      </c>
      <c r="C45" s="2">
        <v>740</v>
      </c>
      <c r="D45" s="7" t="s">
        <v>10</v>
      </c>
      <c r="F45">
        <v>740</v>
      </c>
    </row>
    <row r="46" spans="1:7" x14ac:dyDescent="0.2">
      <c r="A46" s="2">
        <v>70</v>
      </c>
      <c r="B46" s="2">
        <v>450</v>
      </c>
      <c r="C46" s="2">
        <v>745</v>
      </c>
      <c r="D46" s="7" t="s">
        <v>10</v>
      </c>
      <c r="F46">
        <v>745</v>
      </c>
    </row>
    <row r="47" spans="1:7" x14ac:dyDescent="0.2">
      <c r="A47" s="2">
        <v>72</v>
      </c>
      <c r="B47" s="2">
        <v>450</v>
      </c>
      <c r="C47" s="2">
        <v>771</v>
      </c>
      <c r="D47" s="7" t="s">
        <v>10</v>
      </c>
      <c r="F47">
        <v>771</v>
      </c>
    </row>
    <row r="48" spans="1:7" x14ac:dyDescent="0.2">
      <c r="A48" s="2">
        <v>74</v>
      </c>
      <c r="B48" s="2">
        <v>450</v>
      </c>
      <c r="C48" s="2">
        <v>793</v>
      </c>
      <c r="D48" s="7"/>
      <c r="F48">
        <v>793</v>
      </c>
    </row>
    <row r="49" spans="1:7" x14ac:dyDescent="0.2">
      <c r="A49" s="2">
        <v>76</v>
      </c>
      <c r="B49" s="2">
        <v>450</v>
      </c>
      <c r="C49" s="2">
        <v>818</v>
      </c>
      <c r="D49" s="7"/>
      <c r="F49">
        <v>818</v>
      </c>
    </row>
    <row r="50" spans="1:7" x14ac:dyDescent="0.2">
      <c r="A50" s="2">
        <v>78</v>
      </c>
      <c r="B50" s="2">
        <v>450</v>
      </c>
      <c r="C50" s="2">
        <v>851</v>
      </c>
      <c r="D50" s="7"/>
      <c r="F50">
        <v>851</v>
      </c>
    </row>
    <row r="51" spans="1:7" x14ac:dyDescent="0.2">
      <c r="A51" s="2">
        <v>80</v>
      </c>
      <c r="B51" s="2">
        <v>450</v>
      </c>
      <c r="C51" s="2">
        <v>886</v>
      </c>
      <c r="D51" s="2"/>
      <c r="F51">
        <v>886</v>
      </c>
    </row>
    <row r="52" spans="1:7" x14ac:dyDescent="0.2">
      <c r="A52" s="2">
        <v>82</v>
      </c>
      <c r="B52" s="2">
        <v>450</v>
      </c>
      <c r="C52" s="2">
        <v>919</v>
      </c>
      <c r="D52" s="2"/>
      <c r="F52">
        <v>919</v>
      </c>
    </row>
    <row r="53" spans="1:7" x14ac:dyDescent="0.2">
      <c r="A53" s="2">
        <v>84</v>
      </c>
      <c r="B53" s="2">
        <v>450</v>
      </c>
      <c r="C53" s="2">
        <v>930</v>
      </c>
      <c r="D53" s="2"/>
      <c r="F53">
        <v>930</v>
      </c>
      <c r="G53" s="11"/>
    </row>
    <row r="54" spans="1:7" x14ac:dyDescent="0.2">
      <c r="A54" s="2">
        <v>86</v>
      </c>
      <c r="B54" s="2">
        <v>450</v>
      </c>
      <c r="C54" s="2">
        <v>941</v>
      </c>
      <c r="D54" s="2"/>
      <c r="F54">
        <v>941</v>
      </c>
    </row>
    <row r="55" spans="1:7" x14ac:dyDescent="0.2">
      <c r="A55" s="2">
        <v>88</v>
      </c>
      <c r="B55" s="2">
        <v>450</v>
      </c>
      <c r="C55" s="2">
        <v>950</v>
      </c>
      <c r="D55" s="2" t="s">
        <v>9</v>
      </c>
      <c r="F55">
        <v>950</v>
      </c>
    </row>
    <row r="57" spans="1:7" x14ac:dyDescent="0.2">
      <c r="A57" s="4"/>
    </row>
  </sheetData>
  <mergeCells count="1">
    <mergeCell ref="D1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0B33-E531-C842-83A3-4672BAD9990C}">
  <sheetPr codeName="Sheet8">
    <tabColor theme="9" tint="0.79998168889431442"/>
  </sheetPr>
  <dimension ref="A1:G59"/>
  <sheetViews>
    <sheetView zoomScale="125" workbookViewId="0">
      <selection activeCell="D7" sqref="D7:F8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</cols>
  <sheetData>
    <row r="1" spans="1:6" x14ac:dyDescent="0.2">
      <c r="A1" t="s">
        <v>13</v>
      </c>
      <c r="B1" s="5">
        <v>45971</v>
      </c>
      <c r="D1" s="29" t="s">
        <v>39</v>
      </c>
    </row>
    <row r="2" spans="1:6" x14ac:dyDescent="0.2">
      <c r="A2" t="s">
        <v>14</v>
      </c>
      <c r="B2" s="1">
        <v>0.375</v>
      </c>
      <c r="D2" s="29"/>
    </row>
    <row r="3" spans="1:6" x14ac:dyDescent="0.2">
      <c r="A3" t="s">
        <v>15</v>
      </c>
      <c r="B3" s="1">
        <v>0.46250000000000002</v>
      </c>
      <c r="D3" s="29"/>
    </row>
    <row r="4" spans="1:6" ht="16" customHeight="1" x14ac:dyDescent="0.2">
      <c r="A4" t="s">
        <v>20</v>
      </c>
      <c r="B4" s="10">
        <v>399</v>
      </c>
      <c r="C4" t="s">
        <v>19</v>
      </c>
      <c r="D4" s="29"/>
    </row>
    <row r="5" spans="1:6" x14ac:dyDescent="0.2">
      <c r="A5" t="s">
        <v>21</v>
      </c>
      <c r="B5" s="10">
        <v>71</v>
      </c>
      <c r="C5" t="s">
        <v>19</v>
      </c>
      <c r="D5" s="29"/>
    </row>
    <row r="6" spans="1:6" x14ac:dyDescent="0.2">
      <c r="A6" t="s">
        <v>22</v>
      </c>
      <c r="B6" s="9">
        <v>1.1000000000000001</v>
      </c>
      <c r="C6" t="s">
        <v>19</v>
      </c>
      <c r="D6" t="s">
        <v>37</v>
      </c>
    </row>
    <row r="7" spans="1:6" x14ac:dyDescent="0.2">
      <c r="A7" t="s">
        <v>23</v>
      </c>
      <c r="B7" s="10">
        <v>41</v>
      </c>
      <c r="C7" t="s">
        <v>19</v>
      </c>
      <c r="D7" t="s">
        <v>40</v>
      </c>
      <c r="E7">
        <v>471</v>
      </c>
      <c r="F7" t="s">
        <v>41</v>
      </c>
    </row>
    <row r="8" spans="1:6" x14ac:dyDescent="0.2">
      <c r="A8" t="s">
        <v>24</v>
      </c>
      <c r="B8" s="10">
        <v>40</v>
      </c>
      <c r="C8" t="s">
        <v>19</v>
      </c>
      <c r="D8" t="s">
        <v>43</v>
      </c>
    </row>
    <row r="9" spans="1:6" x14ac:dyDescent="0.2">
      <c r="B9" s="1"/>
      <c r="D9" s="6"/>
    </row>
    <row r="10" spans="1:6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6" x14ac:dyDescent="0.2">
      <c r="A11" s="2">
        <v>0</v>
      </c>
      <c r="B11" s="2">
        <v>100</v>
      </c>
      <c r="C11" s="2"/>
      <c r="D11" s="2"/>
      <c r="F11" s="1"/>
    </row>
    <row r="12" spans="1:6" x14ac:dyDescent="0.2">
      <c r="A12" s="2">
        <v>2</v>
      </c>
      <c r="B12" s="2">
        <v>100</v>
      </c>
      <c r="C12" s="2"/>
      <c r="D12" s="2"/>
      <c r="F12" s="1"/>
    </row>
    <row r="13" spans="1:6" x14ac:dyDescent="0.2">
      <c r="A13" s="2">
        <v>4</v>
      </c>
      <c r="B13" s="2">
        <v>100</v>
      </c>
      <c r="C13" s="2"/>
      <c r="D13" s="2"/>
      <c r="F13" s="1"/>
    </row>
    <row r="14" spans="1:6" x14ac:dyDescent="0.2">
      <c r="A14" s="2">
        <v>6</v>
      </c>
      <c r="B14" s="2">
        <v>100</v>
      </c>
      <c r="C14" s="2"/>
      <c r="D14" s="2"/>
      <c r="F14" s="1"/>
    </row>
    <row r="15" spans="1:6" x14ac:dyDescent="0.2">
      <c r="A15" s="2">
        <v>8</v>
      </c>
      <c r="B15" s="2">
        <v>100</v>
      </c>
      <c r="C15" s="2"/>
      <c r="D15" s="2"/>
      <c r="F15" s="1"/>
    </row>
    <row r="16" spans="1:6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2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475</v>
      </c>
      <c r="C29" s="2"/>
      <c r="D29" s="7" t="s">
        <v>38</v>
      </c>
    </row>
    <row r="30" spans="1:4" x14ac:dyDescent="0.2">
      <c r="A30" s="2">
        <v>38</v>
      </c>
      <c r="B30" s="2">
        <v>475</v>
      </c>
      <c r="C30" s="2"/>
      <c r="D30" s="2"/>
    </row>
    <row r="31" spans="1:4" x14ac:dyDescent="0.2">
      <c r="A31" s="2">
        <v>40</v>
      </c>
      <c r="B31" s="2">
        <v>475</v>
      </c>
      <c r="C31" s="2"/>
      <c r="D31" s="2"/>
    </row>
    <row r="32" spans="1:4" x14ac:dyDescent="0.2">
      <c r="A32" s="2">
        <v>42</v>
      </c>
      <c r="B32" s="2">
        <v>475</v>
      </c>
      <c r="C32" s="2"/>
      <c r="D32" s="2"/>
    </row>
    <row r="33" spans="1:7" x14ac:dyDescent="0.2">
      <c r="A33" s="2">
        <v>44</v>
      </c>
      <c r="B33" s="2">
        <v>475</v>
      </c>
      <c r="C33" s="2"/>
      <c r="D33" s="2"/>
    </row>
    <row r="34" spans="1:7" x14ac:dyDescent="0.2">
      <c r="A34" s="2">
        <v>46</v>
      </c>
      <c r="B34" s="2">
        <v>475</v>
      </c>
      <c r="C34" s="2"/>
      <c r="D34" s="2"/>
    </row>
    <row r="35" spans="1:7" x14ac:dyDescent="0.2">
      <c r="A35" s="2">
        <v>48</v>
      </c>
      <c r="B35" s="2">
        <v>475</v>
      </c>
      <c r="C35" s="2"/>
      <c r="D35" s="2"/>
    </row>
    <row r="36" spans="1:7" x14ac:dyDescent="0.2">
      <c r="A36" s="2">
        <v>50</v>
      </c>
      <c r="B36" s="2">
        <v>475</v>
      </c>
      <c r="C36" s="2"/>
      <c r="D36" s="2"/>
    </row>
    <row r="37" spans="1:7" x14ac:dyDescent="0.2">
      <c r="A37" s="2">
        <v>52</v>
      </c>
      <c r="B37" s="2">
        <v>475</v>
      </c>
      <c r="C37" s="2"/>
      <c r="D37" s="2"/>
    </row>
    <row r="38" spans="1:7" x14ac:dyDescent="0.2">
      <c r="A38" s="2">
        <v>54</v>
      </c>
      <c r="B38" s="2">
        <v>475</v>
      </c>
      <c r="C38" s="2"/>
      <c r="D38" s="2"/>
      <c r="G38" s="11"/>
    </row>
    <row r="39" spans="1:7" x14ac:dyDescent="0.2">
      <c r="A39" s="2">
        <v>56</v>
      </c>
      <c r="B39" s="2">
        <v>475</v>
      </c>
      <c r="C39" s="2"/>
      <c r="D39" s="2"/>
    </row>
    <row r="40" spans="1:7" x14ac:dyDescent="0.2">
      <c r="A40" s="2">
        <v>58</v>
      </c>
      <c r="B40" s="2">
        <v>475</v>
      </c>
      <c r="C40" s="2"/>
      <c r="D40" s="2"/>
    </row>
    <row r="41" spans="1:7" x14ac:dyDescent="0.2">
      <c r="A41" s="2">
        <v>60</v>
      </c>
      <c r="B41" s="2">
        <v>475</v>
      </c>
      <c r="C41" s="2"/>
      <c r="D41" s="2"/>
    </row>
    <row r="42" spans="1:7" x14ac:dyDescent="0.2">
      <c r="A42" s="2">
        <v>62</v>
      </c>
      <c r="B42" s="2">
        <v>475</v>
      </c>
      <c r="C42" s="2"/>
      <c r="D42" s="2"/>
      <c r="F42" s="11"/>
    </row>
    <row r="43" spans="1:7" x14ac:dyDescent="0.2">
      <c r="A43" s="2">
        <v>64</v>
      </c>
      <c r="B43" s="2">
        <v>475</v>
      </c>
      <c r="C43" s="2">
        <v>367</v>
      </c>
      <c r="D43" s="7" t="s">
        <v>25</v>
      </c>
    </row>
    <row r="44" spans="1:7" x14ac:dyDescent="0.2">
      <c r="A44" s="2">
        <v>66</v>
      </c>
      <c r="B44" s="2">
        <v>475</v>
      </c>
      <c r="C44" s="2">
        <v>394</v>
      </c>
      <c r="D44" s="7" t="s">
        <v>25</v>
      </c>
    </row>
    <row r="45" spans="1:7" x14ac:dyDescent="0.2">
      <c r="A45" s="2">
        <v>68</v>
      </c>
      <c r="B45" s="2">
        <v>475</v>
      </c>
      <c r="C45" s="2">
        <v>484</v>
      </c>
      <c r="D45" s="7" t="s">
        <v>25</v>
      </c>
    </row>
    <row r="46" spans="1:7" x14ac:dyDescent="0.2">
      <c r="A46" s="2">
        <v>70</v>
      </c>
      <c r="B46" s="2">
        <v>475</v>
      </c>
      <c r="C46" s="2">
        <v>552</v>
      </c>
      <c r="D46" s="7" t="s">
        <v>10</v>
      </c>
    </row>
    <row r="47" spans="1:7" x14ac:dyDescent="0.2">
      <c r="A47" s="2">
        <v>72</v>
      </c>
      <c r="B47" s="2">
        <v>475</v>
      </c>
      <c r="C47" s="2">
        <v>641</v>
      </c>
      <c r="D47" s="7" t="s">
        <v>10</v>
      </c>
    </row>
    <row r="48" spans="1:7" x14ac:dyDescent="0.2">
      <c r="A48" s="2">
        <v>74</v>
      </c>
      <c r="B48" s="2">
        <v>475</v>
      </c>
      <c r="C48" s="2">
        <v>667</v>
      </c>
      <c r="D48" s="7" t="s">
        <v>10</v>
      </c>
    </row>
    <row r="49" spans="1:7" x14ac:dyDescent="0.2">
      <c r="A49" s="2">
        <v>76</v>
      </c>
      <c r="B49" s="2">
        <v>475</v>
      </c>
      <c r="C49" s="2">
        <v>685</v>
      </c>
      <c r="D49" s="7"/>
    </row>
    <row r="50" spans="1:7" x14ac:dyDescent="0.2">
      <c r="A50" s="2">
        <v>78</v>
      </c>
      <c r="B50" s="2">
        <v>475</v>
      </c>
      <c r="C50" s="2">
        <v>705</v>
      </c>
      <c r="D50" s="7"/>
    </row>
    <row r="51" spans="1:7" x14ac:dyDescent="0.2">
      <c r="A51" s="2">
        <v>80</v>
      </c>
      <c r="B51" s="2">
        <v>475</v>
      </c>
      <c r="C51" s="2">
        <v>714</v>
      </c>
      <c r="D51" s="2"/>
    </row>
    <row r="52" spans="1:7" x14ac:dyDescent="0.2">
      <c r="A52" s="2">
        <v>82</v>
      </c>
      <c r="B52" s="2">
        <v>475</v>
      </c>
      <c r="C52" s="2">
        <v>739</v>
      </c>
      <c r="D52" s="2"/>
    </row>
    <row r="53" spans="1:7" x14ac:dyDescent="0.2">
      <c r="A53" s="2">
        <v>84</v>
      </c>
      <c r="B53" s="2">
        <v>475</v>
      </c>
      <c r="C53" s="2">
        <v>768</v>
      </c>
      <c r="D53" s="2"/>
      <c r="G53" s="11"/>
    </row>
    <row r="54" spans="1:7" x14ac:dyDescent="0.2">
      <c r="A54" s="2">
        <v>86</v>
      </c>
      <c r="B54" s="2">
        <v>475</v>
      </c>
      <c r="C54" s="2">
        <v>801</v>
      </c>
      <c r="D54" s="2"/>
    </row>
    <row r="55" spans="1:7" x14ac:dyDescent="0.2">
      <c r="A55" s="2">
        <v>88</v>
      </c>
      <c r="B55" s="2">
        <v>475</v>
      </c>
      <c r="C55" s="2">
        <v>840</v>
      </c>
      <c r="D55" s="2"/>
    </row>
    <row r="56" spans="1:7" x14ac:dyDescent="0.2">
      <c r="A56" s="2">
        <v>90</v>
      </c>
      <c r="B56" s="2">
        <v>475</v>
      </c>
      <c r="C56" s="2">
        <v>878</v>
      </c>
      <c r="D56" s="2"/>
    </row>
    <row r="57" spans="1:7" x14ac:dyDescent="0.2">
      <c r="A57" s="2">
        <v>92</v>
      </c>
      <c r="B57" s="2">
        <v>475</v>
      </c>
      <c r="C57" s="2">
        <v>914</v>
      </c>
      <c r="D57" s="2"/>
      <c r="F57" s="11"/>
    </row>
    <row r="58" spans="1:7" x14ac:dyDescent="0.2">
      <c r="A58" s="2">
        <v>94</v>
      </c>
      <c r="B58" s="2">
        <v>475</v>
      </c>
      <c r="C58" s="2">
        <v>950</v>
      </c>
      <c r="D58" s="2" t="s">
        <v>9</v>
      </c>
    </row>
    <row r="59" spans="1:7" x14ac:dyDescent="0.2">
      <c r="A59" s="4"/>
    </row>
  </sheetData>
  <mergeCells count="1">
    <mergeCell ref="D1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6349-8A7F-DA45-AA79-76440723C587}">
  <sheetPr codeName="Sheet9">
    <tabColor theme="9" tint="0.79998168889431442"/>
  </sheetPr>
  <dimension ref="A1:G55"/>
  <sheetViews>
    <sheetView zoomScale="150" workbookViewId="0">
      <selection activeCell="F21" sqref="F21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</cols>
  <sheetData>
    <row r="1" spans="1:6" x14ac:dyDescent="0.2">
      <c r="A1" t="s">
        <v>13</v>
      </c>
      <c r="B1" s="5">
        <v>45971</v>
      </c>
      <c r="D1" s="29" t="s">
        <v>48</v>
      </c>
    </row>
    <row r="2" spans="1:6" x14ac:dyDescent="0.2">
      <c r="A2" t="s">
        <v>14</v>
      </c>
      <c r="B2" s="1">
        <v>0.51875000000000004</v>
      </c>
      <c r="D2" s="29"/>
      <c r="F2" s="1">
        <f>B3-B2</f>
        <v>6.25E-2</v>
      </c>
    </row>
    <row r="3" spans="1:6" x14ac:dyDescent="0.2">
      <c r="A3" t="s">
        <v>15</v>
      </c>
      <c r="B3" s="1">
        <v>0.58125000000000004</v>
      </c>
      <c r="D3" s="29"/>
    </row>
    <row r="4" spans="1:6" ht="16" customHeight="1" x14ac:dyDescent="0.2">
      <c r="A4" t="s">
        <v>20</v>
      </c>
      <c r="B4" s="10">
        <v>396</v>
      </c>
      <c r="C4" t="s">
        <v>19</v>
      </c>
      <c r="D4" s="29"/>
    </row>
    <row r="5" spans="1:6" x14ac:dyDescent="0.2">
      <c r="A5" t="s">
        <v>21</v>
      </c>
      <c r="B5" s="10">
        <v>70</v>
      </c>
      <c r="C5" t="s">
        <v>19</v>
      </c>
      <c r="D5" s="29"/>
    </row>
    <row r="6" spans="1:6" x14ac:dyDescent="0.2">
      <c r="A6" t="s">
        <v>22</v>
      </c>
      <c r="B6" s="9">
        <v>1.1000000000000001</v>
      </c>
      <c r="C6" t="s">
        <v>19</v>
      </c>
      <c r="D6" t="s">
        <v>37</v>
      </c>
    </row>
    <row r="7" spans="1:6" x14ac:dyDescent="0.2">
      <c r="A7" t="s">
        <v>23</v>
      </c>
      <c r="B7" s="10">
        <v>42</v>
      </c>
      <c r="C7" t="s">
        <v>19</v>
      </c>
      <c r="D7" t="s">
        <v>40</v>
      </c>
      <c r="E7">
        <v>470</v>
      </c>
      <c r="F7" t="s">
        <v>41</v>
      </c>
    </row>
    <row r="8" spans="1:6" x14ac:dyDescent="0.2">
      <c r="A8" t="s">
        <v>24</v>
      </c>
      <c r="B8" s="10">
        <v>40</v>
      </c>
      <c r="C8" t="s">
        <v>19</v>
      </c>
      <c r="D8" t="s">
        <v>49</v>
      </c>
    </row>
    <row r="9" spans="1:6" x14ac:dyDescent="0.2">
      <c r="B9" s="1"/>
      <c r="D9" s="6"/>
    </row>
    <row r="10" spans="1:6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6" x14ac:dyDescent="0.2">
      <c r="A11" s="2">
        <v>0</v>
      </c>
      <c r="B11" s="2">
        <v>100</v>
      </c>
      <c r="C11" s="2"/>
      <c r="D11" s="2"/>
      <c r="F11" s="1"/>
    </row>
    <row r="12" spans="1:6" x14ac:dyDescent="0.2">
      <c r="A12" s="2">
        <v>2</v>
      </c>
      <c r="B12" s="2">
        <v>100</v>
      </c>
      <c r="C12" s="2"/>
      <c r="D12" s="2"/>
      <c r="F12" s="1"/>
    </row>
    <row r="13" spans="1:6" x14ac:dyDescent="0.2">
      <c r="A13" s="2">
        <v>4</v>
      </c>
      <c r="B13" s="2">
        <v>100</v>
      </c>
      <c r="C13" s="2"/>
      <c r="D13" s="2"/>
      <c r="F13" s="1"/>
    </row>
    <row r="14" spans="1:6" x14ac:dyDescent="0.2">
      <c r="A14" s="2">
        <v>6</v>
      </c>
      <c r="B14" s="2">
        <v>100</v>
      </c>
      <c r="C14" s="2"/>
      <c r="D14" s="2"/>
      <c r="F14" s="1"/>
    </row>
    <row r="15" spans="1:6" x14ac:dyDescent="0.2">
      <c r="A15" s="2">
        <v>8</v>
      </c>
      <c r="B15" s="2">
        <v>100</v>
      </c>
      <c r="C15" s="2"/>
      <c r="D15" s="2"/>
      <c r="F15" s="1"/>
    </row>
    <row r="16" spans="1:6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2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475</v>
      </c>
      <c r="C29" s="2"/>
      <c r="D29" s="7" t="s">
        <v>38</v>
      </c>
    </row>
    <row r="30" spans="1:4" x14ac:dyDescent="0.2">
      <c r="A30" s="2">
        <v>38</v>
      </c>
      <c r="B30" s="2">
        <v>475</v>
      </c>
      <c r="C30" s="2"/>
      <c r="D30" s="2"/>
    </row>
    <row r="31" spans="1:4" x14ac:dyDescent="0.2">
      <c r="A31" s="2">
        <v>40</v>
      </c>
      <c r="B31" s="2">
        <v>475</v>
      </c>
      <c r="C31" s="2"/>
      <c r="D31" s="2"/>
    </row>
    <row r="32" spans="1:4" x14ac:dyDescent="0.2">
      <c r="A32" s="2">
        <v>42</v>
      </c>
      <c r="B32" s="2">
        <v>475</v>
      </c>
      <c r="C32" s="2"/>
      <c r="D32" s="2"/>
    </row>
    <row r="33" spans="1:7" x14ac:dyDescent="0.2">
      <c r="A33" s="2">
        <v>44</v>
      </c>
      <c r="B33" s="2">
        <v>475</v>
      </c>
      <c r="C33" s="2"/>
      <c r="D33" s="2"/>
    </row>
    <row r="34" spans="1:7" x14ac:dyDescent="0.2">
      <c r="A34" s="2">
        <v>46</v>
      </c>
      <c r="B34" s="2">
        <v>475</v>
      </c>
      <c r="C34" s="2"/>
      <c r="D34" s="2"/>
    </row>
    <row r="35" spans="1:7" x14ac:dyDescent="0.2">
      <c r="A35" s="2">
        <v>48</v>
      </c>
      <c r="B35" s="2">
        <v>475</v>
      </c>
      <c r="C35" s="2"/>
      <c r="D35" s="2"/>
    </row>
    <row r="36" spans="1:7" x14ac:dyDescent="0.2">
      <c r="A36" s="2">
        <v>50</v>
      </c>
      <c r="B36" s="2">
        <v>475</v>
      </c>
      <c r="C36" s="2"/>
      <c r="D36" s="2"/>
    </row>
    <row r="37" spans="1:7" x14ac:dyDescent="0.2">
      <c r="A37" s="2">
        <v>52</v>
      </c>
      <c r="B37" s="2">
        <v>475</v>
      </c>
      <c r="C37" s="2"/>
      <c r="D37" s="2"/>
    </row>
    <row r="38" spans="1:7" x14ac:dyDescent="0.2">
      <c r="A38" s="2">
        <v>54</v>
      </c>
      <c r="B38" s="2">
        <v>475</v>
      </c>
      <c r="C38" s="2"/>
      <c r="D38" s="2"/>
      <c r="G38" s="11"/>
    </row>
    <row r="39" spans="1:7" x14ac:dyDescent="0.2">
      <c r="A39" s="2">
        <v>56</v>
      </c>
      <c r="B39" s="2">
        <v>475</v>
      </c>
      <c r="C39" s="2"/>
      <c r="D39" s="2"/>
    </row>
    <row r="40" spans="1:7" x14ac:dyDescent="0.2">
      <c r="A40" s="2">
        <v>58</v>
      </c>
      <c r="B40" s="2">
        <v>475</v>
      </c>
      <c r="C40" s="2"/>
      <c r="D40" s="2"/>
    </row>
    <row r="41" spans="1:7" x14ac:dyDescent="0.2">
      <c r="A41" s="2">
        <v>60</v>
      </c>
      <c r="B41" s="2">
        <v>475</v>
      </c>
      <c r="C41" s="2"/>
      <c r="D41" s="2"/>
    </row>
    <row r="42" spans="1:7" x14ac:dyDescent="0.2">
      <c r="A42" s="2">
        <v>62</v>
      </c>
      <c r="B42" s="2">
        <v>475</v>
      </c>
      <c r="C42" s="2"/>
      <c r="D42" s="2"/>
      <c r="F42" s="11"/>
    </row>
    <row r="43" spans="1:7" x14ac:dyDescent="0.2">
      <c r="A43" s="2">
        <v>64</v>
      </c>
      <c r="B43" s="2">
        <v>475</v>
      </c>
      <c r="C43" s="2">
        <v>508</v>
      </c>
      <c r="D43" s="7" t="s">
        <v>25</v>
      </c>
    </row>
    <row r="44" spans="1:7" x14ac:dyDescent="0.2">
      <c r="A44" s="2">
        <v>66</v>
      </c>
      <c r="B44" s="2">
        <v>475</v>
      </c>
      <c r="C44" s="2">
        <v>699</v>
      </c>
      <c r="D44" s="7" t="s">
        <v>25</v>
      </c>
    </row>
    <row r="45" spans="1:7" x14ac:dyDescent="0.2">
      <c r="A45" s="2">
        <v>68</v>
      </c>
      <c r="B45" s="2">
        <v>475</v>
      </c>
      <c r="C45" s="2">
        <v>719</v>
      </c>
      <c r="D45" s="7" t="s">
        <v>10</v>
      </c>
    </row>
    <row r="46" spans="1:7" x14ac:dyDescent="0.2">
      <c r="A46" s="2">
        <v>70</v>
      </c>
      <c r="B46" s="2">
        <v>475</v>
      </c>
      <c r="C46" s="2">
        <v>737</v>
      </c>
      <c r="D46" s="7" t="s">
        <v>10</v>
      </c>
    </row>
    <row r="47" spans="1:7" x14ac:dyDescent="0.2">
      <c r="A47" s="2">
        <v>72</v>
      </c>
      <c r="B47" s="2">
        <v>475</v>
      </c>
      <c r="C47" s="2">
        <v>751</v>
      </c>
      <c r="D47" s="7"/>
    </row>
    <row r="48" spans="1:7" x14ac:dyDescent="0.2">
      <c r="A48" s="2">
        <v>74</v>
      </c>
      <c r="B48" s="2">
        <v>475</v>
      </c>
      <c r="C48" s="2">
        <v>775</v>
      </c>
      <c r="D48" s="7"/>
    </row>
    <row r="49" spans="1:7" x14ac:dyDescent="0.2">
      <c r="A49" s="2">
        <v>76</v>
      </c>
      <c r="B49" s="2">
        <v>475</v>
      </c>
      <c r="C49" s="2">
        <v>804</v>
      </c>
      <c r="D49" s="7"/>
    </row>
    <row r="50" spans="1:7" x14ac:dyDescent="0.2">
      <c r="A50" s="2">
        <v>78</v>
      </c>
      <c r="B50" s="2">
        <v>475</v>
      </c>
      <c r="C50" s="2">
        <v>835</v>
      </c>
      <c r="D50" s="7"/>
    </row>
    <row r="51" spans="1:7" x14ac:dyDescent="0.2">
      <c r="A51" s="2">
        <v>80</v>
      </c>
      <c r="B51" s="2">
        <v>475</v>
      </c>
      <c r="C51" s="2">
        <v>868</v>
      </c>
      <c r="D51" s="2"/>
    </row>
    <row r="52" spans="1:7" x14ac:dyDescent="0.2">
      <c r="A52" s="2">
        <v>82</v>
      </c>
      <c r="B52" s="2">
        <v>475</v>
      </c>
      <c r="C52" s="2">
        <v>905</v>
      </c>
      <c r="D52" s="2"/>
    </row>
    <row r="53" spans="1:7" x14ac:dyDescent="0.2">
      <c r="A53" s="2">
        <v>84</v>
      </c>
      <c r="B53" s="2">
        <v>475</v>
      </c>
      <c r="C53" s="2">
        <v>940</v>
      </c>
      <c r="D53" s="2"/>
      <c r="G53" s="11"/>
    </row>
    <row r="54" spans="1:7" x14ac:dyDescent="0.2">
      <c r="A54" s="2">
        <v>86</v>
      </c>
      <c r="B54" s="2">
        <v>475</v>
      </c>
      <c r="C54" s="2">
        <v>950</v>
      </c>
      <c r="D54" s="2" t="s">
        <v>9</v>
      </c>
    </row>
    <row r="55" spans="1:7" x14ac:dyDescent="0.2">
      <c r="A55" s="4"/>
    </row>
  </sheetData>
  <mergeCells count="1">
    <mergeCell ref="D1:D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3F04-BE36-A74C-99B3-19BF079FF802}">
  <sheetPr codeName="Sheet10"/>
  <dimension ref="A1:F56"/>
  <sheetViews>
    <sheetView zoomScale="183" workbookViewId="0">
      <selection activeCell="C9" sqref="C9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  <col min="5" max="5" width="24.83203125" customWidth="1"/>
  </cols>
  <sheetData>
    <row r="1" spans="1:6" x14ac:dyDescent="0.2">
      <c r="A1" t="s">
        <v>13</v>
      </c>
      <c r="B1" s="5">
        <v>45936</v>
      </c>
      <c r="D1" s="29" t="s">
        <v>16</v>
      </c>
    </row>
    <row r="2" spans="1:6" x14ac:dyDescent="0.2">
      <c r="A2" t="s">
        <v>14</v>
      </c>
      <c r="B2" s="1">
        <v>0.47916666666666669</v>
      </c>
      <c r="D2" s="29"/>
    </row>
    <row r="3" spans="1:6" x14ac:dyDescent="0.2">
      <c r="A3" t="s">
        <v>15</v>
      </c>
      <c r="B3" s="1">
        <v>0.54166666666666663</v>
      </c>
      <c r="D3" s="29"/>
    </row>
    <row r="4" spans="1:6" ht="16" customHeight="1" x14ac:dyDescent="0.2">
      <c r="A4" t="s">
        <v>20</v>
      </c>
      <c r="B4" s="10">
        <v>356</v>
      </c>
      <c r="C4" t="s">
        <v>19</v>
      </c>
      <c r="D4" s="29"/>
    </row>
    <row r="5" spans="1:6" x14ac:dyDescent="0.2">
      <c r="A5" t="s">
        <v>21</v>
      </c>
      <c r="B5" s="10">
        <v>67</v>
      </c>
      <c r="C5" t="s">
        <v>19</v>
      </c>
      <c r="D5" s="29"/>
    </row>
    <row r="6" spans="1:6" x14ac:dyDescent="0.2">
      <c r="A6" t="s">
        <v>22</v>
      </c>
      <c r="B6" s="9">
        <v>1.1000000000000001</v>
      </c>
      <c r="C6" t="s">
        <v>19</v>
      </c>
    </row>
    <row r="7" spans="1:6" x14ac:dyDescent="0.2">
      <c r="A7" t="s">
        <v>23</v>
      </c>
      <c r="B7" s="10">
        <v>40</v>
      </c>
      <c r="C7" t="s">
        <v>19</v>
      </c>
    </row>
    <row r="8" spans="1:6" x14ac:dyDescent="0.2">
      <c r="A8" t="s">
        <v>24</v>
      </c>
      <c r="B8" s="10">
        <v>91</v>
      </c>
      <c r="C8" t="s">
        <v>19</v>
      </c>
    </row>
    <row r="10" spans="1:6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6" x14ac:dyDescent="0.2">
      <c r="A11" s="2">
        <v>0</v>
      </c>
      <c r="B11" s="2">
        <v>100</v>
      </c>
      <c r="C11" s="2"/>
      <c r="D11" s="2"/>
      <c r="F11" s="1"/>
    </row>
    <row r="12" spans="1:6" x14ac:dyDescent="0.2">
      <c r="A12" s="2">
        <v>2</v>
      </c>
      <c r="B12" s="2">
        <v>100</v>
      </c>
      <c r="C12" s="2"/>
      <c r="D12" s="2"/>
      <c r="F12" s="1"/>
    </row>
    <row r="13" spans="1:6" x14ac:dyDescent="0.2">
      <c r="A13" s="2">
        <v>4</v>
      </c>
      <c r="B13" s="2">
        <v>100</v>
      </c>
      <c r="C13" s="2"/>
      <c r="D13" s="2"/>
      <c r="F13" s="1"/>
    </row>
    <row r="14" spans="1:6" x14ac:dyDescent="0.2">
      <c r="A14" s="2">
        <v>6</v>
      </c>
      <c r="B14" s="2">
        <v>100</v>
      </c>
      <c r="C14" s="2"/>
      <c r="D14" s="2"/>
      <c r="F14" s="1"/>
    </row>
    <row r="15" spans="1:6" x14ac:dyDescent="0.2">
      <c r="A15" s="2">
        <v>8</v>
      </c>
      <c r="B15" s="2">
        <v>100</v>
      </c>
      <c r="C15" s="2"/>
      <c r="D15" s="2"/>
      <c r="F15" s="1"/>
    </row>
    <row r="16" spans="1:6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13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500</v>
      </c>
      <c r="C29" s="2"/>
      <c r="D29" s="2"/>
    </row>
    <row r="30" spans="1:4" x14ac:dyDescent="0.2">
      <c r="A30" s="2">
        <v>38</v>
      </c>
      <c r="B30" s="2">
        <v>500</v>
      </c>
      <c r="C30" s="2"/>
      <c r="D30" s="2"/>
    </row>
    <row r="31" spans="1:4" x14ac:dyDescent="0.2">
      <c r="A31" s="2">
        <v>40</v>
      </c>
      <c r="B31" s="2">
        <v>500</v>
      </c>
      <c r="C31" s="2"/>
      <c r="D31" s="2"/>
    </row>
    <row r="32" spans="1:4" x14ac:dyDescent="0.2">
      <c r="A32" s="2">
        <v>42</v>
      </c>
      <c r="B32" s="2">
        <v>500</v>
      </c>
      <c r="C32" s="2"/>
      <c r="D32" s="2"/>
    </row>
    <row r="33" spans="1:6" x14ac:dyDescent="0.2">
      <c r="A33" s="2">
        <v>44</v>
      </c>
      <c r="B33" s="2">
        <v>500</v>
      </c>
      <c r="C33" s="2"/>
      <c r="D33" s="2"/>
    </row>
    <row r="34" spans="1:6" x14ac:dyDescent="0.2">
      <c r="A34" s="2">
        <v>46</v>
      </c>
      <c r="B34" s="2">
        <v>500</v>
      </c>
      <c r="C34" s="2"/>
      <c r="D34" s="2"/>
    </row>
    <row r="35" spans="1:6" x14ac:dyDescent="0.2">
      <c r="A35" s="2">
        <v>48</v>
      </c>
      <c r="B35" s="2">
        <v>500</v>
      </c>
      <c r="C35" s="2"/>
      <c r="D35" s="2"/>
    </row>
    <row r="36" spans="1:6" x14ac:dyDescent="0.2">
      <c r="A36" s="2">
        <v>50</v>
      </c>
      <c r="B36" s="2">
        <v>500</v>
      </c>
      <c r="C36" s="2"/>
      <c r="D36" s="2"/>
    </row>
    <row r="37" spans="1:6" x14ac:dyDescent="0.2">
      <c r="A37" s="2">
        <v>52</v>
      </c>
      <c r="B37" s="2">
        <v>500</v>
      </c>
      <c r="C37" s="2"/>
      <c r="D37" s="2"/>
    </row>
    <row r="38" spans="1:6" x14ac:dyDescent="0.2">
      <c r="A38" s="2">
        <v>54</v>
      </c>
      <c r="B38" s="2">
        <v>500</v>
      </c>
      <c r="C38" s="2"/>
      <c r="D38" s="2"/>
    </row>
    <row r="39" spans="1:6" x14ac:dyDescent="0.2">
      <c r="A39" s="2">
        <v>56</v>
      </c>
      <c r="B39" s="2">
        <v>500</v>
      </c>
      <c r="C39" s="2"/>
      <c r="D39" s="2"/>
    </row>
    <row r="40" spans="1:6" x14ac:dyDescent="0.2">
      <c r="A40" s="2">
        <v>58</v>
      </c>
      <c r="B40" s="2">
        <v>500</v>
      </c>
      <c r="C40" s="2"/>
      <c r="D40" s="2"/>
    </row>
    <row r="41" spans="1:6" x14ac:dyDescent="0.2">
      <c r="A41" s="2">
        <v>60</v>
      </c>
      <c r="B41" s="2">
        <v>500</v>
      </c>
      <c r="C41" s="2">
        <v>182</v>
      </c>
      <c r="D41" s="2"/>
      <c r="F41" s="11"/>
    </row>
    <row r="42" spans="1:6" x14ac:dyDescent="0.2">
      <c r="A42" s="2">
        <v>62</v>
      </c>
      <c r="B42" s="2">
        <v>500</v>
      </c>
      <c r="C42" s="2">
        <v>208</v>
      </c>
      <c r="D42" s="2"/>
    </row>
    <row r="43" spans="1:6" x14ac:dyDescent="0.2">
      <c r="A43" s="2">
        <v>64</v>
      </c>
      <c r="B43" s="2">
        <v>500</v>
      </c>
      <c r="C43" s="2">
        <v>278</v>
      </c>
      <c r="D43" s="7" t="s">
        <v>25</v>
      </c>
    </row>
    <row r="44" spans="1:6" x14ac:dyDescent="0.2">
      <c r="A44" s="2">
        <v>66</v>
      </c>
      <c r="B44" s="2">
        <v>500</v>
      </c>
      <c r="C44" s="2">
        <v>394</v>
      </c>
      <c r="D44" s="7" t="s">
        <v>25</v>
      </c>
    </row>
    <row r="45" spans="1:6" x14ac:dyDescent="0.2">
      <c r="A45" s="2">
        <v>68</v>
      </c>
      <c r="B45" s="2">
        <v>500</v>
      </c>
      <c r="C45" s="2">
        <v>517</v>
      </c>
      <c r="D45" s="2"/>
    </row>
    <row r="46" spans="1:6" x14ac:dyDescent="0.2">
      <c r="A46" s="2">
        <v>70</v>
      </c>
      <c r="B46" s="2">
        <v>500</v>
      </c>
      <c r="C46" s="2">
        <v>600</v>
      </c>
      <c r="D46" s="7" t="s">
        <v>10</v>
      </c>
    </row>
    <row r="47" spans="1:6" x14ac:dyDescent="0.2">
      <c r="A47" s="2">
        <v>72</v>
      </c>
      <c r="B47" s="2">
        <v>500</v>
      </c>
      <c r="C47" s="2">
        <v>832</v>
      </c>
      <c r="D47" s="7" t="s">
        <v>10</v>
      </c>
    </row>
    <row r="48" spans="1:6" x14ac:dyDescent="0.2">
      <c r="A48" s="2">
        <v>74</v>
      </c>
      <c r="B48" s="2">
        <v>500</v>
      </c>
      <c r="C48" s="2">
        <v>873</v>
      </c>
      <c r="D48" s="7" t="s">
        <v>10</v>
      </c>
    </row>
    <row r="49" spans="1:4" x14ac:dyDescent="0.2">
      <c r="A49" s="2">
        <v>76</v>
      </c>
      <c r="B49" s="2">
        <v>500</v>
      </c>
      <c r="C49" s="2">
        <v>890</v>
      </c>
      <c r="D49" s="7" t="s">
        <v>10</v>
      </c>
    </row>
    <row r="50" spans="1:4" x14ac:dyDescent="0.2">
      <c r="A50" s="2">
        <v>78</v>
      </c>
      <c r="B50" s="2">
        <v>500</v>
      </c>
      <c r="C50" s="2">
        <v>928</v>
      </c>
      <c r="D50" s="7" t="s">
        <v>10</v>
      </c>
    </row>
    <row r="51" spans="1:4" x14ac:dyDescent="0.2">
      <c r="A51" s="2">
        <v>80</v>
      </c>
      <c r="B51" s="2">
        <v>500</v>
      </c>
      <c r="C51" s="2">
        <v>933</v>
      </c>
      <c r="D51" s="2"/>
    </row>
    <row r="52" spans="1:4" x14ac:dyDescent="0.2">
      <c r="A52" s="2">
        <v>82</v>
      </c>
      <c r="B52" s="2">
        <v>500</v>
      </c>
      <c r="C52" s="2">
        <v>941</v>
      </c>
      <c r="D52" s="2"/>
    </row>
    <row r="53" spans="1:4" x14ac:dyDescent="0.2">
      <c r="A53" s="2">
        <v>84</v>
      </c>
      <c r="B53" s="2">
        <v>500</v>
      </c>
      <c r="C53" s="2">
        <v>950</v>
      </c>
      <c r="D53" s="2" t="s">
        <v>9</v>
      </c>
    </row>
    <row r="56" spans="1:4" x14ac:dyDescent="0.2">
      <c r="A56" s="4"/>
    </row>
  </sheetData>
  <mergeCells count="1">
    <mergeCell ref="D1:D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A2E1-EF34-A248-B222-8AFCD68C966C}">
  <sheetPr codeName="Sheet11">
    <tabColor theme="7" tint="0.79998168889431442"/>
  </sheetPr>
  <dimension ref="A1:F56"/>
  <sheetViews>
    <sheetView zoomScale="138" workbookViewId="0">
      <selection activeCell="E7" sqref="E7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  <col min="5" max="5" width="6.83203125" customWidth="1"/>
  </cols>
  <sheetData>
    <row r="1" spans="1:6" x14ac:dyDescent="0.2">
      <c r="A1" t="s">
        <v>13</v>
      </c>
      <c r="B1" s="5">
        <v>45971</v>
      </c>
      <c r="D1" s="29" t="s">
        <v>42</v>
      </c>
    </row>
    <row r="2" spans="1:6" x14ac:dyDescent="0.2">
      <c r="A2" t="s">
        <v>14</v>
      </c>
      <c r="B2" s="1">
        <v>0.63194444444444442</v>
      </c>
      <c r="D2" s="29"/>
    </row>
    <row r="3" spans="1:6" x14ac:dyDescent="0.2">
      <c r="A3" t="s">
        <v>15</v>
      </c>
      <c r="B3" s="1">
        <v>0.69444444444444442</v>
      </c>
      <c r="D3" s="29"/>
    </row>
    <row r="4" spans="1:6" ht="16" customHeight="1" x14ac:dyDescent="0.2">
      <c r="A4" t="s">
        <v>20</v>
      </c>
      <c r="B4" s="10">
        <v>396</v>
      </c>
      <c r="C4" t="s">
        <v>19</v>
      </c>
      <c r="D4" s="29"/>
    </row>
    <row r="5" spans="1:6" x14ac:dyDescent="0.2">
      <c r="A5" t="s">
        <v>21</v>
      </c>
      <c r="B5" s="10">
        <v>70</v>
      </c>
      <c r="C5" t="s">
        <v>19</v>
      </c>
      <c r="D5" s="29"/>
    </row>
    <row r="6" spans="1:6" x14ac:dyDescent="0.2">
      <c r="A6" t="s">
        <v>22</v>
      </c>
      <c r="B6" s="9">
        <v>1.1000000000000001</v>
      </c>
      <c r="C6" t="s">
        <v>19</v>
      </c>
      <c r="D6" t="s">
        <v>40</v>
      </c>
      <c r="E6">
        <v>490</v>
      </c>
      <c r="F6" t="s">
        <v>41</v>
      </c>
    </row>
    <row r="7" spans="1:6" x14ac:dyDescent="0.2">
      <c r="A7" t="s">
        <v>23</v>
      </c>
      <c r="B7" s="10">
        <v>40</v>
      </c>
      <c r="C7" t="s">
        <v>19</v>
      </c>
    </row>
    <row r="8" spans="1:6" x14ac:dyDescent="0.2">
      <c r="A8" t="s">
        <v>24</v>
      </c>
      <c r="B8" s="10">
        <v>44</v>
      </c>
      <c r="C8" t="s">
        <v>19</v>
      </c>
    </row>
    <row r="10" spans="1:6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6" x14ac:dyDescent="0.2">
      <c r="A11" s="2">
        <v>0</v>
      </c>
      <c r="B11" s="2">
        <v>100</v>
      </c>
      <c r="C11" s="2"/>
      <c r="D11" s="2"/>
      <c r="F11" s="1"/>
    </row>
    <row r="12" spans="1:6" x14ac:dyDescent="0.2">
      <c r="A12" s="2">
        <v>2</v>
      </c>
      <c r="B12" s="2">
        <v>100</v>
      </c>
      <c r="C12" s="2"/>
      <c r="D12" s="2"/>
      <c r="F12" s="1"/>
    </row>
    <row r="13" spans="1:6" x14ac:dyDescent="0.2">
      <c r="A13" s="2">
        <v>4</v>
      </c>
      <c r="B13" s="2">
        <v>100</v>
      </c>
      <c r="C13" s="2"/>
      <c r="D13" s="2"/>
      <c r="F13" s="1"/>
    </row>
    <row r="14" spans="1:6" x14ac:dyDescent="0.2">
      <c r="A14" s="2">
        <v>6</v>
      </c>
      <c r="B14" s="2">
        <v>100</v>
      </c>
      <c r="C14" s="2"/>
      <c r="D14" s="2"/>
      <c r="F14" s="1"/>
    </row>
    <row r="15" spans="1:6" x14ac:dyDescent="0.2">
      <c r="A15" s="2">
        <v>8</v>
      </c>
      <c r="B15" s="2">
        <v>100</v>
      </c>
      <c r="C15" s="2"/>
      <c r="D15" s="2"/>
      <c r="F15" s="1"/>
    </row>
    <row r="16" spans="1:6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13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500</v>
      </c>
      <c r="C29" s="2"/>
      <c r="D29" s="2"/>
    </row>
    <row r="30" spans="1:4" x14ac:dyDescent="0.2">
      <c r="A30" s="2">
        <v>38</v>
      </c>
      <c r="B30" s="2">
        <v>500</v>
      </c>
      <c r="C30" s="2"/>
      <c r="D30" s="7" t="s">
        <v>38</v>
      </c>
    </row>
    <row r="31" spans="1:4" x14ac:dyDescent="0.2">
      <c r="A31" s="2">
        <v>40</v>
      </c>
      <c r="B31" s="2">
        <v>500</v>
      </c>
      <c r="C31" s="2"/>
      <c r="D31" s="2"/>
    </row>
    <row r="32" spans="1:4" x14ac:dyDescent="0.2">
      <c r="A32" s="2">
        <v>42</v>
      </c>
      <c r="B32" s="2">
        <v>500</v>
      </c>
      <c r="C32" s="2"/>
      <c r="D32" s="2"/>
    </row>
    <row r="33" spans="1:6" x14ac:dyDescent="0.2">
      <c r="A33" s="2">
        <v>44</v>
      </c>
      <c r="B33" s="2">
        <v>500</v>
      </c>
      <c r="C33" s="2"/>
      <c r="D33" s="2"/>
    </row>
    <row r="34" spans="1:6" x14ac:dyDescent="0.2">
      <c r="A34" s="2">
        <v>46</v>
      </c>
      <c r="B34" s="2">
        <v>500</v>
      </c>
      <c r="C34" s="2"/>
      <c r="D34" s="2"/>
    </row>
    <row r="35" spans="1:6" x14ac:dyDescent="0.2">
      <c r="A35" s="2">
        <v>48</v>
      </c>
      <c r="B35" s="2">
        <v>500</v>
      </c>
      <c r="C35" s="2"/>
      <c r="D35" s="2"/>
    </row>
    <row r="36" spans="1:6" x14ac:dyDescent="0.2">
      <c r="A36" s="2">
        <v>50</v>
      </c>
      <c r="B36" s="2">
        <v>500</v>
      </c>
      <c r="C36" s="2"/>
      <c r="D36" s="2"/>
    </row>
    <row r="37" spans="1:6" x14ac:dyDescent="0.2">
      <c r="A37" s="2">
        <v>52</v>
      </c>
      <c r="B37" s="2">
        <v>500</v>
      </c>
      <c r="C37" s="2"/>
      <c r="D37" s="2"/>
    </row>
    <row r="38" spans="1:6" x14ac:dyDescent="0.2">
      <c r="A38" s="2">
        <v>54</v>
      </c>
      <c r="B38" s="2">
        <v>500</v>
      </c>
      <c r="C38" s="2"/>
      <c r="D38" s="2"/>
    </row>
    <row r="39" spans="1:6" x14ac:dyDescent="0.2">
      <c r="A39" s="2">
        <v>56</v>
      </c>
      <c r="B39" s="2">
        <v>500</v>
      </c>
      <c r="C39" s="2"/>
      <c r="D39" s="2"/>
    </row>
    <row r="40" spans="1:6" x14ac:dyDescent="0.2">
      <c r="A40" s="2">
        <v>58</v>
      </c>
      <c r="B40" s="2">
        <v>500</v>
      </c>
      <c r="C40" s="2"/>
      <c r="D40" s="2"/>
    </row>
    <row r="41" spans="1:6" x14ac:dyDescent="0.2">
      <c r="A41" s="2">
        <v>60</v>
      </c>
      <c r="B41" s="2">
        <v>500</v>
      </c>
      <c r="C41" s="2"/>
      <c r="D41" s="2"/>
      <c r="F41" s="11"/>
    </row>
    <row r="42" spans="1:6" x14ac:dyDescent="0.2">
      <c r="A42" s="2">
        <v>62</v>
      </c>
      <c r="B42" s="2">
        <v>500</v>
      </c>
      <c r="C42" s="2"/>
      <c r="D42" s="2"/>
    </row>
    <row r="43" spans="1:6" x14ac:dyDescent="0.2">
      <c r="A43" s="2">
        <v>64</v>
      </c>
      <c r="B43" s="2">
        <v>500</v>
      </c>
      <c r="C43" s="2">
        <v>570</v>
      </c>
      <c r="D43" s="7" t="s">
        <v>25</v>
      </c>
      <c r="F43" s="11"/>
    </row>
    <row r="44" spans="1:6" x14ac:dyDescent="0.2">
      <c r="A44" s="2">
        <v>66</v>
      </c>
      <c r="B44" s="2">
        <v>500</v>
      </c>
      <c r="C44" s="2">
        <v>606</v>
      </c>
      <c r="D44" s="7" t="s">
        <v>25</v>
      </c>
    </row>
    <row r="45" spans="1:6" x14ac:dyDescent="0.2">
      <c r="A45" s="2">
        <v>68</v>
      </c>
      <c r="B45" s="2">
        <v>500</v>
      </c>
      <c r="C45">
        <v>700</v>
      </c>
      <c r="D45" s="7" t="s">
        <v>25</v>
      </c>
    </row>
    <row r="46" spans="1:6" x14ac:dyDescent="0.2">
      <c r="A46" s="2">
        <v>70</v>
      </c>
      <c r="B46" s="2">
        <v>500</v>
      </c>
      <c r="C46" s="2">
        <v>764</v>
      </c>
      <c r="D46" s="7" t="s">
        <v>10</v>
      </c>
    </row>
    <row r="47" spans="1:6" x14ac:dyDescent="0.2">
      <c r="A47" s="2">
        <v>72</v>
      </c>
      <c r="B47" s="2">
        <v>500</v>
      </c>
      <c r="C47" s="2">
        <v>800</v>
      </c>
      <c r="D47" s="7" t="s">
        <v>10</v>
      </c>
    </row>
    <row r="48" spans="1:6" x14ac:dyDescent="0.2">
      <c r="A48" s="2">
        <v>74</v>
      </c>
      <c r="B48" s="2">
        <v>500</v>
      </c>
      <c r="C48" s="2">
        <v>822</v>
      </c>
      <c r="D48" s="7"/>
    </row>
    <row r="49" spans="1:4" x14ac:dyDescent="0.2">
      <c r="A49" s="2">
        <v>76</v>
      </c>
      <c r="B49" s="2">
        <v>500</v>
      </c>
      <c r="C49" s="2">
        <v>844</v>
      </c>
      <c r="D49" s="7"/>
    </row>
    <row r="50" spans="1:4" x14ac:dyDescent="0.2">
      <c r="A50" s="2">
        <v>78</v>
      </c>
      <c r="B50" s="2">
        <v>500</v>
      </c>
      <c r="C50" s="2">
        <v>870</v>
      </c>
      <c r="D50" s="7"/>
    </row>
    <row r="51" spans="1:4" x14ac:dyDescent="0.2">
      <c r="A51" s="2">
        <v>80</v>
      </c>
      <c r="B51" s="2">
        <v>500</v>
      </c>
      <c r="C51" s="2">
        <v>910</v>
      </c>
      <c r="D51" s="2"/>
    </row>
    <row r="52" spans="1:4" x14ac:dyDescent="0.2">
      <c r="A52" s="2">
        <v>82</v>
      </c>
      <c r="B52" s="2">
        <v>500</v>
      </c>
      <c r="C52" s="2">
        <v>945</v>
      </c>
      <c r="D52" s="2"/>
    </row>
    <row r="53" spans="1:4" x14ac:dyDescent="0.2">
      <c r="A53" s="2">
        <v>84</v>
      </c>
      <c r="B53" s="2">
        <v>500</v>
      </c>
      <c r="C53" s="2">
        <v>950</v>
      </c>
      <c r="D53" s="2" t="s">
        <v>9</v>
      </c>
    </row>
    <row r="56" spans="1:4" x14ac:dyDescent="0.2">
      <c r="A56" s="4"/>
    </row>
  </sheetData>
  <mergeCells count="1">
    <mergeCell ref="D1:D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9382-EB95-FB4B-91FB-33BE6CD7E626}">
  <sheetPr codeName="Sheet12">
    <tabColor theme="7" tint="0.79998168889431442"/>
  </sheetPr>
  <dimension ref="A1:F56"/>
  <sheetViews>
    <sheetView zoomScale="158" workbookViewId="0">
      <selection activeCell="F10" sqref="F10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  <col min="5" max="5" width="6.6640625" customWidth="1"/>
  </cols>
  <sheetData>
    <row r="1" spans="1:6" x14ac:dyDescent="0.2">
      <c r="A1" t="s">
        <v>13</v>
      </c>
      <c r="B1" s="5">
        <v>45971</v>
      </c>
      <c r="D1" s="29" t="s">
        <v>44</v>
      </c>
    </row>
    <row r="2" spans="1:6" x14ac:dyDescent="0.2">
      <c r="A2" t="s">
        <v>14</v>
      </c>
      <c r="B2" s="1">
        <v>0.73611111111111116</v>
      </c>
      <c r="D2" s="29"/>
    </row>
    <row r="3" spans="1:6" x14ac:dyDescent="0.2">
      <c r="A3" t="s">
        <v>15</v>
      </c>
      <c r="B3" s="1">
        <v>0.79861111111111116</v>
      </c>
      <c r="D3" s="29"/>
    </row>
    <row r="4" spans="1:6" ht="16" customHeight="1" x14ac:dyDescent="0.2">
      <c r="A4" t="s">
        <v>20</v>
      </c>
      <c r="B4" s="10">
        <v>397</v>
      </c>
      <c r="C4" t="s">
        <v>19</v>
      </c>
      <c r="D4" s="29"/>
    </row>
    <row r="5" spans="1:6" x14ac:dyDescent="0.2">
      <c r="A5" t="s">
        <v>21</v>
      </c>
      <c r="B5" s="10">
        <v>71</v>
      </c>
      <c r="C5" t="s">
        <v>19</v>
      </c>
      <c r="D5" s="29"/>
    </row>
    <row r="6" spans="1:6" x14ac:dyDescent="0.2">
      <c r="A6" t="s">
        <v>22</v>
      </c>
      <c r="B6" s="9">
        <v>1.1000000000000001</v>
      </c>
      <c r="C6" t="s">
        <v>19</v>
      </c>
      <c r="D6" t="s">
        <v>40</v>
      </c>
      <c r="E6">
        <v>495</v>
      </c>
      <c r="F6" t="s">
        <v>41</v>
      </c>
    </row>
    <row r="7" spans="1:6" x14ac:dyDescent="0.2">
      <c r="A7" t="s">
        <v>23</v>
      </c>
      <c r="B7" s="10">
        <v>40</v>
      </c>
      <c r="C7" t="s">
        <v>19</v>
      </c>
    </row>
    <row r="8" spans="1:6" x14ac:dyDescent="0.2">
      <c r="A8" t="s">
        <v>24</v>
      </c>
      <c r="B8" s="10">
        <v>43</v>
      </c>
      <c r="C8" t="s">
        <v>19</v>
      </c>
    </row>
    <row r="10" spans="1:6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6" x14ac:dyDescent="0.2">
      <c r="A11" s="2">
        <v>0</v>
      </c>
      <c r="B11" s="2">
        <v>100</v>
      </c>
      <c r="C11" s="2"/>
      <c r="D11" s="2"/>
      <c r="F11" s="1"/>
    </row>
    <row r="12" spans="1:6" x14ac:dyDescent="0.2">
      <c r="A12" s="2">
        <v>2</v>
      </c>
      <c r="B12" s="2">
        <v>100</v>
      </c>
      <c r="C12" s="2"/>
      <c r="D12" s="2"/>
      <c r="F12" s="1"/>
    </row>
    <row r="13" spans="1:6" x14ac:dyDescent="0.2">
      <c r="A13" s="2">
        <v>4</v>
      </c>
      <c r="B13" s="2">
        <v>100</v>
      </c>
      <c r="C13" s="2"/>
      <c r="D13" s="2"/>
      <c r="F13" s="1"/>
    </row>
    <row r="14" spans="1:6" x14ac:dyDescent="0.2">
      <c r="A14" s="2">
        <v>6</v>
      </c>
      <c r="B14" s="2">
        <v>100</v>
      </c>
      <c r="C14" s="2"/>
      <c r="D14" s="2"/>
      <c r="F14" s="1"/>
    </row>
    <row r="15" spans="1:6" x14ac:dyDescent="0.2">
      <c r="A15" s="2">
        <v>8</v>
      </c>
      <c r="B15" s="2">
        <v>100</v>
      </c>
      <c r="C15" s="2"/>
      <c r="D15" s="2"/>
      <c r="F15" s="1"/>
    </row>
    <row r="16" spans="1:6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13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500</v>
      </c>
      <c r="C29" s="2"/>
      <c r="D29" s="2"/>
    </row>
    <row r="30" spans="1:4" x14ac:dyDescent="0.2">
      <c r="A30" s="2">
        <v>38</v>
      </c>
      <c r="B30" s="2">
        <v>500</v>
      </c>
      <c r="C30" s="2"/>
      <c r="D30" s="7" t="s">
        <v>38</v>
      </c>
    </row>
    <row r="31" spans="1:4" x14ac:dyDescent="0.2">
      <c r="A31" s="2">
        <v>40</v>
      </c>
      <c r="B31" s="2">
        <v>500</v>
      </c>
      <c r="C31" s="2"/>
      <c r="D31" s="2"/>
    </row>
    <row r="32" spans="1:4" x14ac:dyDescent="0.2">
      <c r="A32" s="2">
        <v>42</v>
      </c>
      <c r="B32" s="2">
        <v>500</v>
      </c>
      <c r="C32" s="2"/>
      <c r="D32" s="2"/>
    </row>
    <row r="33" spans="1:6" x14ac:dyDescent="0.2">
      <c r="A33" s="2">
        <v>44</v>
      </c>
      <c r="B33" s="2">
        <v>500</v>
      </c>
      <c r="C33" s="2"/>
      <c r="D33" s="2"/>
    </row>
    <row r="34" spans="1:6" x14ac:dyDescent="0.2">
      <c r="A34" s="2">
        <v>46</v>
      </c>
      <c r="B34" s="2">
        <v>500</v>
      </c>
      <c r="C34" s="2"/>
      <c r="D34" s="2"/>
    </row>
    <row r="35" spans="1:6" x14ac:dyDescent="0.2">
      <c r="A35" s="2">
        <v>48</v>
      </c>
      <c r="B35" s="2">
        <v>500</v>
      </c>
      <c r="C35" s="2"/>
      <c r="D35" s="2"/>
    </row>
    <row r="36" spans="1:6" x14ac:dyDescent="0.2">
      <c r="A36" s="2">
        <v>50</v>
      </c>
      <c r="B36" s="2">
        <v>500</v>
      </c>
      <c r="C36" s="2"/>
      <c r="D36" s="2"/>
    </row>
    <row r="37" spans="1:6" x14ac:dyDescent="0.2">
      <c r="A37" s="2">
        <v>52</v>
      </c>
      <c r="B37" s="2">
        <v>500</v>
      </c>
      <c r="C37" s="2"/>
      <c r="D37" s="2"/>
    </row>
    <row r="38" spans="1:6" x14ac:dyDescent="0.2">
      <c r="A38" s="2">
        <v>54</v>
      </c>
      <c r="B38" s="2">
        <v>500</v>
      </c>
      <c r="C38" s="2"/>
      <c r="D38" s="2"/>
    </row>
    <row r="39" spans="1:6" x14ac:dyDescent="0.2">
      <c r="A39" s="2">
        <v>56</v>
      </c>
      <c r="B39" s="2">
        <v>500</v>
      </c>
      <c r="C39" s="2"/>
      <c r="D39" s="2"/>
    </row>
    <row r="40" spans="1:6" x14ac:dyDescent="0.2">
      <c r="A40" s="2">
        <v>58</v>
      </c>
      <c r="B40" s="2">
        <v>500</v>
      </c>
      <c r="C40" s="2"/>
      <c r="D40" s="2"/>
    </row>
    <row r="41" spans="1:6" x14ac:dyDescent="0.2">
      <c r="A41" s="2">
        <v>60</v>
      </c>
      <c r="B41" s="2">
        <v>500</v>
      </c>
      <c r="C41" s="2"/>
      <c r="D41" s="2"/>
      <c r="F41" s="11"/>
    </row>
    <row r="42" spans="1:6" x14ac:dyDescent="0.2">
      <c r="A42" s="2">
        <v>62</v>
      </c>
      <c r="B42" s="2">
        <v>500</v>
      </c>
      <c r="C42" s="2"/>
      <c r="D42" s="2"/>
      <c r="F42" s="11"/>
    </row>
    <row r="43" spans="1:6" x14ac:dyDescent="0.2">
      <c r="A43" s="2">
        <v>64</v>
      </c>
      <c r="B43" s="2">
        <v>500</v>
      </c>
      <c r="C43" s="2">
        <v>690</v>
      </c>
      <c r="D43" s="7" t="s">
        <v>25</v>
      </c>
    </row>
    <row r="44" spans="1:6" x14ac:dyDescent="0.2">
      <c r="A44" s="2">
        <v>66</v>
      </c>
      <c r="B44" s="2">
        <v>500</v>
      </c>
      <c r="C44" s="2">
        <v>717</v>
      </c>
      <c r="D44" s="7" t="s">
        <v>25</v>
      </c>
    </row>
    <row r="45" spans="1:6" x14ac:dyDescent="0.2">
      <c r="A45" s="2">
        <v>68</v>
      </c>
      <c r="B45" s="2">
        <v>500</v>
      </c>
      <c r="C45">
        <v>720</v>
      </c>
      <c r="D45" s="7" t="s">
        <v>25</v>
      </c>
    </row>
    <row r="46" spans="1:6" x14ac:dyDescent="0.2">
      <c r="A46" s="2">
        <v>70</v>
      </c>
      <c r="B46" s="2">
        <v>500</v>
      </c>
      <c r="C46" s="2">
        <v>752</v>
      </c>
      <c r="D46" s="7" t="s">
        <v>25</v>
      </c>
    </row>
    <row r="47" spans="1:6" x14ac:dyDescent="0.2">
      <c r="A47" s="2">
        <v>72</v>
      </c>
      <c r="B47" s="2">
        <v>500</v>
      </c>
      <c r="C47" s="2">
        <v>773</v>
      </c>
      <c r="D47" s="7" t="s">
        <v>10</v>
      </c>
    </row>
    <row r="48" spans="1:6" x14ac:dyDescent="0.2">
      <c r="A48" s="2">
        <v>74</v>
      </c>
      <c r="B48" s="2">
        <v>500</v>
      </c>
      <c r="C48" s="2">
        <v>810</v>
      </c>
      <c r="D48" s="7" t="s">
        <v>10</v>
      </c>
    </row>
    <row r="49" spans="1:4" x14ac:dyDescent="0.2">
      <c r="A49" s="2">
        <v>76</v>
      </c>
      <c r="B49" s="2">
        <v>500</v>
      </c>
      <c r="C49" s="2">
        <v>833</v>
      </c>
      <c r="D49" s="7" t="s">
        <v>10</v>
      </c>
    </row>
    <row r="50" spans="1:4" x14ac:dyDescent="0.2">
      <c r="A50" s="2">
        <v>78</v>
      </c>
      <c r="B50" s="2">
        <v>500</v>
      </c>
      <c r="C50" s="2">
        <v>860</v>
      </c>
      <c r="D50" s="7" t="s">
        <v>10</v>
      </c>
    </row>
    <row r="51" spans="1:4" x14ac:dyDescent="0.2">
      <c r="A51" s="2">
        <v>80</v>
      </c>
      <c r="B51" s="2">
        <v>500</v>
      </c>
      <c r="C51" s="2">
        <v>896</v>
      </c>
      <c r="D51" s="2"/>
    </row>
    <row r="52" spans="1:4" x14ac:dyDescent="0.2">
      <c r="A52" s="2">
        <v>82</v>
      </c>
      <c r="B52" s="2">
        <v>500</v>
      </c>
      <c r="C52" s="2">
        <v>931</v>
      </c>
      <c r="D52" s="2"/>
    </row>
    <row r="53" spans="1:4" x14ac:dyDescent="0.2">
      <c r="A53" s="2">
        <v>84</v>
      </c>
      <c r="B53" s="2">
        <v>500</v>
      </c>
      <c r="C53" s="2">
        <v>950</v>
      </c>
      <c r="D53" s="2" t="s">
        <v>9</v>
      </c>
    </row>
    <row r="56" spans="1:4" x14ac:dyDescent="0.2">
      <c r="A56" s="4"/>
    </row>
  </sheetData>
  <mergeCells count="1">
    <mergeCell ref="D1:D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A956-C2A3-F940-9CE2-7571961ED91C}">
  <sheetPr codeName="Sheet13">
    <tabColor theme="7" tint="0.79998168889431442"/>
  </sheetPr>
  <dimension ref="A1:G56"/>
  <sheetViews>
    <sheetView zoomScale="158" workbookViewId="0">
      <selection activeCell="G4" sqref="G4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  <col min="5" max="5" width="6.6640625" customWidth="1"/>
  </cols>
  <sheetData>
    <row r="1" spans="1:7" x14ac:dyDescent="0.2">
      <c r="A1" t="s">
        <v>13</v>
      </c>
      <c r="B1" s="5">
        <v>45972</v>
      </c>
      <c r="D1" s="29" t="s">
        <v>46</v>
      </c>
    </row>
    <row r="2" spans="1:7" x14ac:dyDescent="0.2">
      <c r="A2" t="s">
        <v>14</v>
      </c>
      <c r="B2" s="1">
        <v>0.63194444444444442</v>
      </c>
      <c r="D2" s="29"/>
    </row>
    <row r="3" spans="1:7" x14ac:dyDescent="0.2">
      <c r="A3" t="s">
        <v>15</v>
      </c>
      <c r="B3" s="1">
        <v>0.69097222222222221</v>
      </c>
      <c r="D3" s="29"/>
      <c r="G3" s="1">
        <f>B3-B2</f>
        <v>5.902777777777779E-2</v>
      </c>
    </row>
    <row r="4" spans="1:7" ht="16" customHeight="1" x14ac:dyDescent="0.2">
      <c r="A4" t="s">
        <v>20</v>
      </c>
      <c r="B4" s="10">
        <v>397</v>
      </c>
      <c r="C4" t="s">
        <v>19</v>
      </c>
      <c r="D4" s="29"/>
      <c r="G4">
        <v>84</v>
      </c>
    </row>
    <row r="5" spans="1:7" x14ac:dyDescent="0.2">
      <c r="A5" t="s">
        <v>21</v>
      </c>
      <c r="B5" s="10">
        <v>71</v>
      </c>
      <c r="C5" t="s">
        <v>19</v>
      </c>
      <c r="D5" s="29"/>
    </row>
    <row r="6" spans="1:7" x14ac:dyDescent="0.2">
      <c r="A6" t="s">
        <v>22</v>
      </c>
      <c r="B6" s="9">
        <v>1.1000000000000001</v>
      </c>
      <c r="C6" t="s">
        <v>19</v>
      </c>
      <c r="D6" t="s">
        <v>40</v>
      </c>
      <c r="E6">
        <v>495</v>
      </c>
      <c r="F6" t="s">
        <v>41</v>
      </c>
    </row>
    <row r="7" spans="1:7" x14ac:dyDescent="0.2">
      <c r="A7" t="s">
        <v>23</v>
      </c>
      <c r="B7" s="10">
        <v>40</v>
      </c>
      <c r="C7" t="s">
        <v>19</v>
      </c>
    </row>
    <row r="8" spans="1:7" x14ac:dyDescent="0.2">
      <c r="A8" t="s">
        <v>24</v>
      </c>
      <c r="B8" s="10">
        <v>43</v>
      </c>
      <c r="C8" t="s">
        <v>19</v>
      </c>
    </row>
    <row r="10" spans="1:7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7" x14ac:dyDescent="0.2">
      <c r="A11" s="2">
        <v>0</v>
      </c>
      <c r="B11" s="2">
        <v>100</v>
      </c>
      <c r="C11" s="2"/>
      <c r="D11" s="2"/>
      <c r="F11" s="1"/>
    </row>
    <row r="12" spans="1:7" x14ac:dyDescent="0.2">
      <c r="A12" s="2">
        <v>2</v>
      </c>
      <c r="B12" s="2">
        <v>100</v>
      </c>
      <c r="C12" s="2"/>
      <c r="D12" s="2"/>
      <c r="F12" s="1"/>
    </row>
    <row r="13" spans="1:7" x14ac:dyDescent="0.2">
      <c r="A13" s="2">
        <v>4</v>
      </c>
      <c r="B13" s="2">
        <v>100</v>
      </c>
      <c r="C13" s="2"/>
      <c r="D13" s="2"/>
      <c r="F13" s="1"/>
    </row>
    <row r="14" spans="1:7" x14ac:dyDescent="0.2">
      <c r="A14" s="2">
        <v>6</v>
      </c>
      <c r="B14" s="2">
        <v>100</v>
      </c>
      <c r="C14" s="2"/>
      <c r="D14" s="2"/>
      <c r="F14" s="1"/>
    </row>
    <row r="15" spans="1:7" x14ac:dyDescent="0.2">
      <c r="A15" s="2">
        <v>8</v>
      </c>
      <c r="B15" s="2">
        <v>100</v>
      </c>
      <c r="C15" s="2"/>
      <c r="D15" s="2"/>
      <c r="F15" s="1"/>
    </row>
    <row r="16" spans="1:7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13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500</v>
      </c>
      <c r="C29" s="2"/>
      <c r="D29" s="2"/>
    </row>
    <row r="30" spans="1:4" x14ac:dyDescent="0.2">
      <c r="A30" s="2">
        <v>38</v>
      </c>
      <c r="B30" s="2">
        <v>500</v>
      </c>
      <c r="C30" s="2"/>
      <c r="D30" s="7" t="s">
        <v>38</v>
      </c>
    </row>
    <row r="31" spans="1:4" x14ac:dyDescent="0.2">
      <c r="A31" s="2">
        <v>40</v>
      </c>
      <c r="B31" s="2">
        <v>500</v>
      </c>
      <c r="C31" s="2"/>
      <c r="D31" s="2"/>
    </row>
    <row r="32" spans="1:4" x14ac:dyDescent="0.2">
      <c r="A32" s="2">
        <v>42</v>
      </c>
      <c r="B32" s="2">
        <v>500</v>
      </c>
      <c r="C32" s="2"/>
      <c r="D32" s="2"/>
    </row>
    <row r="33" spans="1:6" x14ac:dyDescent="0.2">
      <c r="A33" s="2">
        <v>44</v>
      </c>
      <c r="B33" s="2">
        <v>500</v>
      </c>
      <c r="C33" s="2"/>
      <c r="D33" s="2"/>
    </row>
    <row r="34" spans="1:6" x14ac:dyDescent="0.2">
      <c r="A34" s="2">
        <v>46</v>
      </c>
      <c r="B34" s="2">
        <v>500</v>
      </c>
      <c r="C34" s="2"/>
      <c r="D34" s="2"/>
    </row>
    <row r="35" spans="1:6" x14ac:dyDescent="0.2">
      <c r="A35" s="2">
        <v>48</v>
      </c>
      <c r="B35" s="2">
        <v>500</v>
      </c>
      <c r="C35" s="2"/>
      <c r="D35" s="2"/>
    </row>
    <row r="36" spans="1:6" x14ac:dyDescent="0.2">
      <c r="A36" s="2">
        <v>50</v>
      </c>
      <c r="B36" s="2">
        <v>500</v>
      </c>
      <c r="C36" s="2"/>
      <c r="D36" s="2"/>
    </row>
    <row r="37" spans="1:6" x14ac:dyDescent="0.2">
      <c r="A37" s="2">
        <v>52</v>
      </c>
      <c r="B37" s="2">
        <v>500</v>
      </c>
      <c r="C37" s="2"/>
      <c r="D37" s="2"/>
    </row>
    <row r="38" spans="1:6" x14ac:dyDescent="0.2">
      <c r="A38" s="2">
        <v>54</v>
      </c>
      <c r="B38" s="2">
        <v>500</v>
      </c>
      <c r="C38" s="2"/>
      <c r="D38" s="2"/>
    </row>
    <row r="39" spans="1:6" x14ac:dyDescent="0.2">
      <c r="A39" s="2">
        <v>56</v>
      </c>
      <c r="B39" s="2">
        <v>500</v>
      </c>
      <c r="C39" s="2"/>
      <c r="D39" s="2"/>
    </row>
    <row r="40" spans="1:6" x14ac:dyDescent="0.2">
      <c r="A40" s="2">
        <v>58</v>
      </c>
      <c r="B40" s="2">
        <v>500</v>
      </c>
      <c r="C40" s="2"/>
      <c r="D40" s="2"/>
    </row>
    <row r="41" spans="1:6" x14ac:dyDescent="0.2">
      <c r="A41" s="2">
        <v>60</v>
      </c>
      <c r="B41" s="2">
        <v>500</v>
      </c>
      <c r="C41" s="2"/>
      <c r="D41" s="2"/>
      <c r="F41" s="11"/>
    </row>
    <row r="42" spans="1:6" x14ac:dyDescent="0.2">
      <c r="A42" s="2">
        <v>62</v>
      </c>
      <c r="B42" s="2">
        <v>500</v>
      </c>
      <c r="C42" s="2"/>
      <c r="D42" s="2"/>
      <c r="F42" s="11"/>
    </row>
    <row r="43" spans="1:6" x14ac:dyDescent="0.2">
      <c r="A43" s="2">
        <v>64</v>
      </c>
      <c r="B43" s="2">
        <v>500</v>
      </c>
      <c r="C43" s="2">
        <v>690</v>
      </c>
      <c r="D43" s="7" t="s">
        <v>25</v>
      </c>
    </row>
    <row r="44" spans="1:6" x14ac:dyDescent="0.2">
      <c r="A44" s="2">
        <v>66</v>
      </c>
      <c r="B44" s="2">
        <v>500</v>
      </c>
      <c r="C44" s="2">
        <v>717</v>
      </c>
      <c r="D44" s="7" t="s">
        <v>25</v>
      </c>
    </row>
    <row r="45" spans="1:6" x14ac:dyDescent="0.2">
      <c r="A45" s="2">
        <v>68</v>
      </c>
      <c r="B45" s="2">
        <v>500</v>
      </c>
      <c r="C45">
        <v>720</v>
      </c>
      <c r="D45" s="7" t="s">
        <v>25</v>
      </c>
    </row>
    <row r="46" spans="1:6" x14ac:dyDescent="0.2">
      <c r="A46" s="2">
        <v>70</v>
      </c>
      <c r="B46" s="2">
        <v>500</v>
      </c>
      <c r="C46" s="2">
        <v>752</v>
      </c>
      <c r="D46" s="7" t="s">
        <v>25</v>
      </c>
    </row>
    <row r="47" spans="1:6" x14ac:dyDescent="0.2">
      <c r="A47" s="2">
        <v>72</v>
      </c>
      <c r="B47" s="2">
        <v>500</v>
      </c>
      <c r="C47" s="2">
        <v>773</v>
      </c>
      <c r="D47" s="7" t="s">
        <v>10</v>
      </c>
    </row>
    <row r="48" spans="1:6" x14ac:dyDescent="0.2">
      <c r="A48" s="2">
        <v>74</v>
      </c>
      <c r="B48" s="2">
        <v>500</v>
      </c>
      <c r="C48" s="2">
        <v>810</v>
      </c>
      <c r="D48" s="7" t="s">
        <v>10</v>
      </c>
    </row>
    <row r="49" spans="1:4" x14ac:dyDescent="0.2">
      <c r="A49" s="2">
        <v>76</v>
      </c>
      <c r="B49" s="2">
        <v>500</v>
      </c>
      <c r="C49" s="2">
        <v>833</v>
      </c>
      <c r="D49" s="7" t="s">
        <v>10</v>
      </c>
    </row>
    <row r="50" spans="1:4" x14ac:dyDescent="0.2">
      <c r="A50" s="2">
        <v>78</v>
      </c>
      <c r="B50" s="2">
        <v>500</v>
      </c>
      <c r="C50" s="2">
        <v>860</v>
      </c>
      <c r="D50" s="7" t="s">
        <v>10</v>
      </c>
    </row>
    <row r="51" spans="1:4" x14ac:dyDescent="0.2">
      <c r="A51" s="2">
        <v>80</v>
      </c>
      <c r="B51" s="2">
        <v>500</v>
      </c>
      <c r="C51" s="2">
        <v>896</v>
      </c>
      <c r="D51" s="2"/>
    </row>
    <row r="52" spans="1:4" x14ac:dyDescent="0.2">
      <c r="A52" s="2">
        <v>82</v>
      </c>
      <c r="B52" s="2">
        <v>500</v>
      </c>
      <c r="C52" s="2">
        <v>931</v>
      </c>
      <c r="D52" s="2"/>
    </row>
    <row r="53" spans="1:4" x14ac:dyDescent="0.2">
      <c r="A53" s="2">
        <v>84</v>
      </c>
      <c r="B53" s="2">
        <v>500</v>
      </c>
      <c r="C53" s="2">
        <v>950</v>
      </c>
      <c r="D53" s="2" t="s">
        <v>9</v>
      </c>
    </row>
    <row r="56" spans="1:4" x14ac:dyDescent="0.2">
      <c r="A56" s="4"/>
    </row>
  </sheetData>
  <mergeCells count="1">
    <mergeCell ref="D1:D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CAEFB-3A84-464D-BB6E-A2D641DC1A7C}">
  <sheetPr codeName="Sheet16">
    <tabColor theme="7" tint="0.79998168889431442"/>
  </sheetPr>
  <dimension ref="A1:G56"/>
  <sheetViews>
    <sheetView zoomScale="158" workbookViewId="0">
      <selection activeCell="G9" sqref="G9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  <col min="5" max="5" width="6.6640625" customWidth="1"/>
  </cols>
  <sheetData>
    <row r="1" spans="1:7" x14ac:dyDescent="0.2">
      <c r="A1" t="s">
        <v>13</v>
      </c>
      <c r="B1" s="5">
        <v>45972</v>
      </c>
      <c r="D1" s="29" t="s">
        <v>46</v>
      </c>
    </row>
    <row r="2" spans="1:7" x14ac:dyDescent="0.2">
      <c r="A2" t="s">
        <v>14</v>
      </c>
      <c r="B2" s="1">
        <v>0.73402777777777772</v>
      </c>
      <c r="D2" s="29"/>
    </row>
    <row r="3" spans="1:7" x14ac:dyDescent="0.2">
      <c r="A3" t="s">
        <v>15</v>
      </c>
      <c r="B3" s="1">
        <v>0.7944444444444444</v>
      </c>
      <c r="D3" s="29"/>
      <c r="G3" s="1">
        <f>B3-B2</f>
        <v>6.0416666666666674E-2</v>
      </c>
    </row>
    <row r="4" spans="1:7" ht="16" customHeight="1" x14ac:dyDescent="0.2">
      <c r="A4" t="s">
        <v>20</v>
      </c>
      <c r="B4" s="10">
        <v>397</v>
      </c>
      <c r="C4" t="s">
        <v>19</v>
      </c>
      <c r="D4" s="29"/>
      <c r="G4">
        <v>86</v>
      </c>
    </row>
    <row r="5" spans="1:7" x14ac:dyDescent="0.2">
      <c r="A5" t="s">
        <v>21</v>
      </c>
      <c r="B5" s="10">
        <v>71</v>
      </c>
      <c r="C5" t="s">
        <v>19</v>
      </c>
      <c r="D5" s="29"/>
    </row>
    <row r="6" spans="1:7" x14ac:dyDescent="0.2">
      <c r="A6" t="s">
        <v>22</v>
      </c>
      <c r="B6" s="9">
        <v>1.1000000000000001</v>
      </c>
      <c r="C6" t="s">
        <v>19</v>
      </c>
      <c r="D6" t="s">
        <v>40</v>
      </c>
      <c r="E6">
        <v>495</v>
      </c>
      <c r="F6" t="s">
        <v>41</v>
      </c>
    </row>
    <row r="7" spans="1:7" x14ac:dyDescent="0.2">
      <c r="A7" t="s">
        <v>23</v>
      </c>
      <c r="B7" s="10">
        <v>40</v>
      </c>
      <c r="C7" t="s">
        <v>19</v>
      </c>
    </row>
    <row r="8" spans="1:7" x14ac:dyDescent="0.2">
      <c r="A8" t="s">
        <v>24</v>
      </c>
      <c r="B8" s="10">
        <v>43</v>
      </c>
      <c r="C8" t="s">
        <v>19</v>
      </c>
    </row>
    <row r="10" spans="1:7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7" x14ac:dyDescent="0.2">
      <c r="A11" s="2">
        <v>0</v>
      </c>
      <c r="B11" s="2">
        <v>100</v>
      </c>
      <c r="C11" s="2"/>
      <c r="D11" s="2"/>
      <c r="F11" s="1"/>
    </row>
    <row r="12" spans="1:7" x14ac:dyDescent="0.2">
      <c r="A12" s="2">
        <v>2</v>
      </c>
      <c r="B12" s="2">
        <v>100</v>
      </c>
      <c r="C12" s="2"/>
      <c r="D12" s="2"/>
      <c r="F12" s="1"/>
    </row>
    <row r="13" spans="1:7" x14ac:dyDescent="0.2">
      <c r="A13" s="2">
        <v>4</v>
      </c>
      <c r="B13" s="2">
        <v>100</v>
      </c>
      <c r="C13" s="2"/>
      <c r="D13" s="2"/>
      <c r="F13" s="1"/>
    </row>
    <row r="14" spans="1:7" x14ac:dyDescent="0.2">
      <c r="A14" s="2">
        <v>6</v>
      </c>
      <c r="B14" s="2">
        <v>100</v>
      </c>
      <c r="C14" s="2"/>
      <c r="D14" s="2"/>
      <c r="F14" s="1"/>
    </row>
    <row r="15" spans="1:7" x14ac:dyDescent="0.2">
      <c r="A15" s="2">
        <v>8</v>
      </c>
      <c r="B15" s="2">
        <v>100</v>
      </c>
      <c r="C15" s="2"/>
      <c r="D15" s="2"/>
      <c r="F15" s="1"/>
    </row>
    <row r="16" spans="1:7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13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500</v>
      </c>
      <c r="C29" s="2"/>
      <c r="D29" s="2"/>
    </row>
    <row r="30" spans="1:4" x14ac:dyDescent="0.2">
      <c r="A30" s="2">
        <v>38</v>
      </c>
      <c r="B30" s="2">
        <v>500</v>
      </c>
      <c r="C30" s="2"/>
      <c r="D30" s="7" t="s">
        <v>38</v>
      </c>
    </row>
    <row r="31" spans="1:4" x14ac:dyDescent="0.2">
      <c r="A31" s="2">
        <v>40</v>
      </c>
      <c r="B31" s="2">
        <v>500</v>
      </c>
      <c r="C31" s="2"/>
      <c r="D31" s="2"/>
    </row>
    <row r="32" spans="1:4" x14ac:dyDescent="0.2">
      <c r="A32" s="2">
        <v>42</v>
      </c>
      <c r="B32" s="2">
        <v>500</v>
      </c>
      <c r="C32" s="2"/>
      <c r="D32" s="2"/>
    </row>
    <row r="33" spans="1:6" x14ac:dyDescent="0.2">
      <c r="A33" s="2">
        <v>44</v>
      </c>
      <c r="B33" s="2">
        <v>500</v>
      </c>
      <c r="C33" s="2"/>
      <c r="D33" s="2"/>
    </row>
    <row r="34" spans="1:6" x14ac:dyDescent="0.2">
      <c r="A34" s="2">
        <v>46</v>
      </c>
      <c r="B34" s="2">
        <v>500</v>
      </c>
      <c r="C34" s="2"/>
      <c r="D34" s="2"/>
    </row>
    <row r="35" spans="1:6" x14ac:dyDescent="0.2">
      <c r="A35" s="2">
        <v>48</v>
      </c>
      <c r="B35" s="2">
        <v>500</v>
      </c>
      <c r="C35" s="2"/>
      <c r="D35" s="2"/>
    </row>
    <row r="36" spans="1:6" x14ac:dyDescent="0.2">
      <c r="A36" s="2">
        <v>50</v>
      </c>
      <c r="B36" s="2">
        <v>500</v>
      </c>
      <c r="C36" s="2"/>
      <c r="D36" s="2"/>
    </row>
    <row r="37" spans="1:6" x14ac:dyDescent="0.2">
      <c r="A37" s="2">
        <v>52</v>
      </c>
      <c r="B37" s="2">
        <v>500</v>
      </c>
      <c r="C37" s="2"/>
      <c r="D37" s="2"/>
    </row>
    <row r="38" spans="1:6" x14ac:dyDescent="0.2">
      <c r="A38" s="2">
        <v>54</v>
      </c>
      <c r="B38" s="2">
        <v>500</v>
      </c>
      <c r="C38" s="2"/>
      <c r="D38" s="2"/>
    </row>
    <row r="39" spans="1:6" x14ac:dyDescent="0.2">
      <c r="A39" s="2">
        <v>56</v>
      </c>
      <c r="B39" s="2">
        <v>500</v>
      </c>
      <c r="C39" s="2"/>
      <c r="D39" s="2"/>
    </row>
    <row r="40" spans="1:6" x14ac:dyDescent="0.2">
      <c r="A40" s="2">
        <v>58</v>
      </c>
      <c r="B40" s="2">
        <v>500</v>
      </c>
      <c r="C40" s="2"/>
      <c r="D40" s="2"/>
    </row>
    <row r="41" spans="1:6" x14ac:dyDescent="0.2">
      <c r="A41" s="2">
        <v>60</v>
      </c>
      <c r="B41" s="2">
        <v>500</v>
      </c>
      <c r="C41" s="2"/>
      <c r="D41" s="2"/>
      <c r="F41" s="11"/>
    </row>
    <row r="42" spans="1:6" x14ac:dyDescent="0.2">
      <c r="A42" s="2">
        <v>62</v>
      </c>
      <c r="B42" s="2">
        <v>500</v>
      </c>
      <c r="C42" s="2"/>
      <c r="D42" s="2"/>
      <c r="F42" s="11"/>
    </row>
    <row r="43" spans="1:6" x14ac:dyDescent="0.2">
      <c r="A43" s="2">
        <v>64</v>
      </c>
      <c r="B43" s="2">
        <v>500</v>
      </c>
      <c r="C43" s="2">
        <v>690</v>
      </c>
      <c r="D43" s="7" t="s">
        <v>25</v>
      </c>
    </row>
    <row r="44" spans="1:6" x14ac:dyDescent="0.2">
      <c r="A44" s="2">
        <v>66</v>
      </c>
      <c r="B44" s="2">
        <v>500</v>
      </c>
      <c r="C44" s="2">
        <v>717</v>
      </c>
      <c r="D44" s="7" t="s">
        <v>25</v>
      </c>
    </row>
    <row r="45" spans="1:6" x14ac:dyDescent="0.2">
      <c r="A45" s="2">
        <v>68</v>
      </c>
      <c r="B45" s="2">
        <v>500</v>
      </c>
      <c r="C45">
        <v>720</v>
      </c>
      <c r="D45" s="7" t="s">
        <v>25</v>
      </c>
    </row>
    <row r="46" spans="1:6" x14ac:dyDescent="0.2">
      <c r="A46" s="2">
        <v>70</v>
      </c>
      <c r="B46" s="2">
        <v>500</v>
      </c>
      <c r="C46" s="2">
        <v>752</v>
      </c>
      <c r="D46" s="7" t="s">
        <v>25</v>
      </c>
    </row>
    <row r="47" spans="1:6" x14ac:dyDescent="0.2">
      <c r="A47" s="2">
        <v>72</v>
      </c>
      <c r="B47" s="2">
        <v>500</v>
      </c>
      <c r="C47" s="2">
        <v>773</v>
      </c>
      <c r="D47" s="7" t="s">
        <v>10</v>
      </c>
    </row>
    <row r="48" spans="1:6" x14ac:dyDescent="0.2">
      <c r="A48" s="2">
        <v>74</v>
      </c>
      <c r="B48" s="2">
        <v>500</v>
      </c>
      <c r="C48" s="2">
        <v>810</v>
      </c>
      <c r="D48" s="7" t="s">
        <v>10</v>
      </c>
    </row>
    <row r="49" spans="1:4" x14ac:dyDescent="0.2">
      <c r="A49" s="2">
        <v>76</v>
      </c>
      <c r="B49" s="2">
        <v>500</v>
      </c>
      <c r="C49" s="2">
        <v>833</v>
      </c>
      <c r="D49" s="7" t="s">
        <v>10</v>
      </c>
    </row>
    <row r="50" spans="1:4" x14ac:dyDescent="0.2">
      <c r="A50" s="2">
        <v>78</v>
      </c>
      <c r="B50" s="2">
        <v>500</v>
      </c>
      <c r="C50" s="2">
        <v>860</v>
      </c>
      <c r="D50" s="7" t="s">
        <v>10</v>
      </c>
    </row>
    <row r="51" spans="1:4" x14ac:dyDescent="0.2">
      <c r="A51" s="2">
        <v>80</v>
      </c>
      <c r="B51" s="2">
        <v>500</v>
      </c>
      <c r="C51" s="2">
        <v>896</v>
      </c>
      <c r="D51" s="2"/>
    </row>
    <row r="52" spans="1:4" x14ac:dyDescent="0.2">
      <c r="A52" s="2">
        <v>82</v>
      </c>
      <c r="B52" s="2">
        <v>500</v>
      </c>
      <c r="C52" s="2">
        <v>931</v>
      </c>
      <c r="D52" s="2"/>
    </row>
    <row r="53" spans="1:4" x14ac:dyDescent="0.2">
      <c r="A53" s="2">
        <v>84</v>
      </c>
      <c r="B53" s="2">
        <v>500</v>
      </c>
      <c r="C53" s="2">
        <v>950</v>
      </c>
      <c r="D53" s="2" t="s">
        <v>9</v>
      </c>
    </row>
    <row r="56" spans="1:4" x14ac:dyDescent="0.2">
      <c r="A56" s="4"/>
    </row>
  </sheetData>
  <mergeCells count="1">
    <mergeCell ref="D1:D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945A-6DA5-584E-9CE8-21C0E9F85BC8}">
  <sheetPr codeName="Sheet14"/>
  <dimension ref="A1:F56"/>
  <sheetViews>
    <sheetView zoomScale="183" workbookViewId="0">
      <selection activeCell="B4" sqref="B4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  <col min="5" max="5" width="24.83203125" customWidth="1"/>
  </cols>
  <sheetData>
    <row r="1" spans="1:6" x14ac:dyDescent="0.2">
      <c r="A1" t="s">
        <v>13</v>
      </c>
      <c r="B1" s="5">
        <v>45936</v>
      </c>
      <c r="D1" s="29" t="s">
        <v>17</v>
      </c>
    </row>
    <row r="2" spans="1:6" x14ac:dyDescent="0.2">
      <c r="A2" t="s">
        <v>14</v>
      </c>
      <c r="B2" s="1">
        <v>0.5625</v>
      </c>
      <c r="D2" s="29"/>
    </row>
    <row r="3" spans="1:6" x14ac:dyDescent="0.2">
      <c r="A3" t="s">
        <v>15</v>
      </c>
      <c r="B3" s="1">
        <v>0.625</v>
      </c>
      <c r="D3" s="29"/>
    </row>
    <row r="4" spans="1:6" ht="16" customHeight="1" x14ac:dyDescent="0.2">
      <c r="A4" t="s">
        <v>20</v>
      </c>
      <c r="B4" s="10">
        <v>354</v>
      </c>
      <c r="C4" t="s">
        <v>19</v>
      </c>
      <c r="D4" s="29"/>
    </row>
    <row r="5" spans="1:6" x14ac:dyDescent="0.2">
      <c r="A5" t="s">
        <v>21</v>
      </c>
      <c r="B5" s="10">
        <v>66</v>
      </c>
      <c r="C5" t="s">
        <v>19</v>
      </c>
      <c r="D5" s="29"/>
    </row>
    <row r="6" spans="1:6" x14ac:dyDescent="0.2">
      <c r="A6" t="s">
        <v>22</v>
      </c>
      <c r="B6" s="9">
        <v>1.1000000000000001</v>
      </c>
      <c r="C6" t="s">
        <v>19</v>
      </c>
    </row>
    <row r="7" spans="1:6" x14ac:dyDescent="0.2">
      <c r="A7" t="s">
        <v>23</v>
      </c>
      <c r="B7" s="10">
        <v>40</v>
      </c>
      <c r="C7" t="s">
        <v>19</v>
      </c>
    </row>
    <row r="8" spans="1:6" x14ac:dyDescent="0.2">
      <c r="A8" t="s">
        <v>24</v>
      </c>
      <c r="B8" s="10">
        <v>91</v>
      </c>
      <c r="C8" t="s">
        <v>19</v>
      </c>
    </row>
    <row r="10" spans="1:6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6" x14ac:dyDescent="0.2">
      <c r="A11" s="2">
        <v>0</v>
      </c>
      <c r="B11" s="2">
        <v>100</v>
      </c>
      <c r="C11" s="2"/>
      <c r="D11" s="2"/>
      <c r="F11" s="1"/>
    </row>
    <row r="12" spans="1:6" x14ac:dyDescent="0.2">
      <c r="A12" s="2">
        <v>2</v>
      </c>
      <c r="B12" s="2">
        <v>100</v>
      </c>
      <c r="C12" s="2"/>
      <c r="D12" s="2"/>
      <c r="F12" s="1"/>
    </row>
    <row r="13" spans="1:6" x14ac:dyDescent="0.2">
      <c r="A13" s="2">
        <v>4</v>
      </c>
      <c r="B13" s="2">
        <v>100</v>
      </c>
      <c r="C13" s="2"/>
      <c r="D13" s="2"/>
      <c r="F13" s="1"/>
    </row>
    <row r="14" spans="1:6" x14ac:dyDescent="0.2">
      <c r="A14" s="2">
        <v>6</v>
      </c>
      <c r="B14" s="2">
        <v>100</v>
      </c>
      <c r="C14" s="2"/>
      <c r="D14" s="2"/>
      <c r="F14" s="1"/>
    </row>
    <row r="15" spans="1:6" x14ac:dyDescent="0.2">
      <c r="A15" s="2">
        <v>8</v>
      </c>
      <c r="B15" s="2">
        <v>100</v>
      </c>
      <c r="C15" s="2"/>
      <c r="D15" s="2"/>
      <c r="F15" s="1"/>
    </row>
    <row r="16" spans="1:6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2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500</v>
      </c>
      <c r="C29" s="2"/>
      <c r="D29" s="2"/>
    </row>
    <row r="30" spans="1:4" x14ac:dyDescent="0.2">
      <c r="A30" s="2">
        <v>38</v>
      </c>
      <c r="B30" s="2">
        <v>500</v>
      </c>
      <c r="C30" s="2"/>
      <c r="D30" s="2"/>
    </row>
    <row r="31" spans="1:4" x14ac:dyDescent="0.2">
      <c r="A31" s="2">
        <v>40</v>
      </c>
      <c r="B31" s="2">
        <v>500</v>
      </c>
      <c r="C31" s="2"/>
      <c r="D31" s="2"/>
    </row>
    <row r="32" spans="1:4" x14ac:dyDescent="0.2">
      <c r="A32" s="2">
        <v>42</v>
      </c>
      <c r="B32" s="2">
        <v>500</v>
      </c>
      <c r="C32" s="2"/>
      <c r="D32" s="2"/>
    </row>
    <row r="33" spans="1:6" x14ac:dyDescent="0.2">
      <c r="A33" s="2">
        <v>44</v>
      </c>
      <c r="B33" s="2">
        <v>500</v>
      </c>
      <c r="C33" s="2"/>
      <c r="D33" s="2"/>
    </row>
    <row r="34" spans="1:6" x14ac:dyDescent="0.2">
      <c r="A34" s="2">
        <v>46</v>
      </c>
      <c r="B34" s="2">
        <v>500</v>
      </c>
      <c r="C34" s="2"/>
      <c r="D34" s="2"/>
    </row>
    <row r="35" spans="1:6" x14ac:dyDescent="0.2">
      <c r="A35" s="2">
        <v>48</v>
      </c>
      <c r="B35" s="2">
        <v>500</v>
      </c>
      <c r="C35" s="2"/>
      <c r="D35" s="2"/>
    </row>
    <row r="36" spans="1:6" x14ac:dyDescent="0.2">
      <c r="A36" s="2">
        <v>50</v>
      </c>
      <c r="B36" s="2">
        <v>500</v>
      </c>
      <c r="C36" s="2"/>
      <c r="D36" s="2"/>
    </row>
    <row r="37" spans="1:6" x14ac:dyDescent="0.2">
      <c r="A37" s="2">
        <v>52</v>
      </c>
      <c r="B37" s="2">
        <v>500</v>
      </c>
      <c r="C37" s="2"/>
      <c r="D37" s="2"/>
    </row>
    <row r="38" spans="1:6" x14ac:dyDescent="0.2">
      <c r="A38" s="2">
        <v>54</v>
      </c>
      <c r="B38" s="2">
        <v>500</v>
      </c>
      <c r="C38" s="2"/>
      <c r="D38" s="2"/>
    </row>
    <row r="39" spans="1:6" x14ac:dyDescent="0.2">
      <c r="A39" s="2">
        <v>56</v>
      </c>
      <c r="B39" s="2">
        <v>500</v>
      </c>
      <c r="C39" s="2"/>
      <c r="D39" s="2"/>
      <c r="F39" s="11"/>
    </row>
    <row r="40" spans="1:6" x14ac:dyDescent="0.2">
      <c r="A40" s="2">
        <v>58</v>
      </c>
      <c r="B40" s="2">
        <v>500</v>
      </c>
      <c r="C40" s="2"/>
      <c r="D40" s="2"/>
    </row>
    <row r="41" spans="1:6" x14ac:dyDescent="0.2">
      <c r="A41" s="2">
        <v>60</v>
      </c>
      <c r="B41" s="2">
        <v>500</v>
      </c>
      <c r="C41" s="2">
        <v>365</v>
      </c>
      <c r="D41" s="2"/>
    </row>
    <row r="42" spans="1:6" x14ac:dyDescent="0.2">
      <c r="A42" s="2">
        <v>62</v>
      </c>
      <c r="B42" s="2">
        <v>500</v>
      </c>
      <c r="C42" s="2">
        <v>390</v>
      </c>
      <c r="D42" s="2"/>
    </row>
    <row r="43" spans="1:6" x14ac:dyDescent="0.2">
      <c r="A43" s="2">
        <v>64</v>
      </c>
      <c r="B43" s="2">
        <v>500</v>
      </c>
      <c r="C43" s="2">
        <v>463</v>
      </c>
      <c r="D43" s="7" t="s">
        <v>25</v>
      </c>
    </row>
    <row r="44" spans="1:6" x14ac:dyDescent="0.2">
      <c r="A44" s="2">
        <v>66</v>
      </c>
      <c r="B44" s="2">
        <v>500</v>
      </c>
      <c r="C44" s="2">
        <v>735</v>
      </c>
      <c r="D44" s="7" t="s">
        <v>10</v>
      </c>
    </row>
    <row r="45" spans="1:6" x14ac:dyDescent="0.2">
      <c r="A45" s="2">
        <v>68</v>
      </c>
      <c r="B45" s="2">
        <v>500</v>
      </c>
      <c r="C45" s="2">
        <v>634</v>
      </c>
      <c r="D45" s="7" t="s">
        <v>10</v>
      </c>
    </row>
    <row r="46" spans="1:6" x14ac:dyDescent="0.2">
      <c r="A46" s="2">
        <v>70</v>
      </c>
      <c r="B46" s="2">
        <v>500</v>
      </c>
      <c r="C46" s="2">
        <v>650</v>
      </c>
      <c r="D46" s="7" t="s">
        <v>10</v>
      </c>
    </row>
    <row r="47" spans="1:6" x14ac:dyDescent="0.2">
      <c r="A47" s="2">
        <v>72</v>
      </c>
      <c r="B47" s="2">
        <v>500</v>
      </c>
      <c r="C47" s="2">
        <v>806</v>
      </c>
      <c r="D47" s="7" t="s">
        <v>10</v>
      </c>
    </row>
    <row r="48" spans="1:6" x14ac:dyDescent="0.2">
      <c r="A48" s="2">
        <v>74</v>
      </c>
      <c r="B48" s="2">
        <v>500</v>
      </c>
      <c r="C48" s="2">
        <v>845</v>
      </c>
      <c r="D48" s="7" t="s">
        <v>10</v>
      </c>
    </row>
    <row r="49" spans="1:4" x14ac:dyDescent="0.2">
      <c r="A49" s="2">
        <v>76</v>
      </c>
      <c r="B49" s="2">
        <v>500</v>
      </c>
      <c r="C49" s="2">
        <v>835</v>
      </c>
      <c r="D49" s="7"/>
    </row>
    <row r="50" spans="1:4" x14ac:dyDescent="0.2">
      <c r="A50" s="2">
        <v>78</v>
      </c>
      <c r="B50" s="2">
        <v>500</v>
      </c>
      <c r="C50" s="2">
        <v>834</v>
      </c>
      <c r="D50" s="7"/>
    </row>
    <row r="51" spans="1:4" x14ac:dyDescent="0.2">
      <c r="A51" s="2">
        <v>80</v>
      </c>
      <c r="B51" s="2">
        <v>500</v>
      </c>
      <c r="C51" s="2">
        <v>858</v>
      </c>
      <c r="D51" s="2"/>
    </row>
    <row r="52" spans="1:4" x14ac:dyDescent="0.2">
      <c r="A52" s="2">
        <v>82</v>
      </c>
      <c r="B52" s="2">
        <v>500</v>
      </c>
      <c r="C52" s="2">
        <v>882</v>
      </c>
      <c r="D52" s="2"/>
    </row>
    <row r="53" spans="1:4" x14ac:dyDescent="0.2">
      <c r="A53" s="2">
        <v>84</v>
      </c>
      <c r="B53" s="2">
        <v>500</v>
      </c>
      <c r="C53" s="2">
        <v>912</v>
      </c>
      <c r="D53" s="2"/>
    </row>
    <row r="54" spans="1:4" x14ac:dyDescent="0.2">
      <c r="A54" s="2">
        <v>86</v>
      </c>
      <c r="B54" s="2">
        <v>500</v>
      </c>
      <c r="C54" s="2">
        <v>950</v>
      </c>
      <c r="D54" s="2" t="s">
        <v>9</v>
      </c>
    </row>
    <row r="56" spans="1:4" x14ac:dyDescent="0.2">
      <c r="A56" s="4"/>
    </row>
  </sheetData>
  <mergeCells count="1">
    <mergeCell ref="D1:D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D7E1-46B9-524E-9E3D-D8E5CDB1BC61}">
  <sheetPr codeName="Sheet15"/>
  <dimension ref="A1:H56"/>
  <sheetViews>
    <sheetView zoomScale="183" workbookViewId="0">
      <selection activeCell="C17" sqref="C17"/>
    </sheetView>
  </sheetViews>
  <sheetFormatPr baseColWidth="10" defaultRowHeight="16" x14ac:dyDescent="0.2"/>
  <cols>
    <col min="1" max="2" width="17.83203125" customWidth="1"/>
    <col min="3" max="3" width="17.6640625" bestFit="1" customWidth="1"/>
    <col min="4" max="4" width="23.83203125" bestFit="1" customWidth="1"/>
    <col min="5" max="5" width="24.83203125" customWidth="1"/>
  </cols>
  <sheetData>
    <row r="1" spans="1:6" x14ac:dyDescent="0.2">
      <c r="A1" t="s">
        <v>13</v>
      </c>
      <c r="B1" s="5">
        <v>45936</v>
      </c>
      <c r="D1" s="29" t="s">
        <v>17</v>
      </c>
    </row>
    <row r="2" spans="1:6" x14ac:dyDescent="0.2">
      <c r="A2" t="s">
        <v>14</v>
      </c>
      <c r="B2" s="1">
        <v>0.64583333333333337</v>
      </c>
      <c r="D2" s="29"/>
    </row>
    <row r="3" spans="1:6" x14ac:dyDescent="0.2">
      <c r="A3" t="s">
        <v>15</v>
      </c>
      <c r="B3" s="1">
        <v>0.70833333333333337</v>
      </c>
      <c r="D3" s="29"/>
    </row>
    <row r="4" spans="1:6" ht="16" customHeight="1" x14ac:dyDescent="0.2">
      <c r="A4" t="s">
        <v>20</v>
      </c>
      <c r="B4" s="10">
        <v>354</v>
      </c>
      <c r="C4" t="s">
        <v>19</v>
      </c>
      <c r="D4" s="29"/>
    </row>
    <row r="5" spans="1:6" x14ac:dyDescent="0.2">
      <c r="A5" t="s">
        <v>21</v>
      </c>
      <c r="B5" s="10">
        <v>66</v>
      </c>
      <c r="C5" t="s">
        <v>19</v>
      </c>
      <c r="D5" s="29"/>
    </row>
    <row r="6" spans="1:6" x14ac:dyDescent="0.2">
      <c r="A6" t="s">
        <v>22</v>
      </c>
      <c r="B6" s="9">
        <v>1.1000000000000001</v>
      </c>
      <c r="C6" t="s">
        <v>19</v>
      </c>
    </row>
    <row r="7" spans="1:6" x14ac:dyDescent="0.2">
      <c r="A7" t="s">
        <v>23</v>
      </c>
      <c r="B7" s="10">
        <v>40</v>
      </c>
      <c r="C7" t="s">
        <v>19</v>
      </c>
    </row>
    <row r="8" spans="1:6" x14ac:dyDescent="0.2">
      <c r="A8" t="s">
        <v>24</v>
      </c>
      <c r="B8" s="10">
        <v>92</v>
      </c>
      <c r="C8" t="s">
        <v>19</v>
      </c>
    </row>
    <row r="10" spans="1:6" x14ac:dyDescent="0.2">
      <c r="A10" s="3" t="s">
        <v>0</v>
      </c>
      <c r="B10" s="3" t="s">
        <v>11</v>
      </c>
      <c r="C10" s="3" t="s">
        <v>1</v>
      </c>
      <c r="D10" s="3" t="s">
        <v>2</v>
      </c>
    </row>
    <row r="11" spans="1:6" x14ac:dyDescent="0.2">
      <c r="A11" s="2">
        <v>0</v>
      </c>
      <c r="B11" s="2">
        <v>100</v>
      </c>
      <c r="C11" s="2"/>
      <c r="D11" s="2"/>
      <c r="F11" s="1"/>
    </row>
    <row r="12" spans="1:6" x14ac:dyDescent="0.2">
      <c r="A12" s="2">
        <v>2</v>
      </c>
      <c r="B12" s="2">
        <v>100</v>
      </c>
      <c r="C12" s="2"/>
      <c r="D12" s="2"/>
      <c r="F12" s="1"/>
    </row>
    <row r="13" spans="1:6" x14ac:dyDescent="0.2">
      <c r="A13" s="2">
        <v>4</v>
      </c>
      <c r="B13" s="2">
        <v>100</v>
      </c>
      <c r="C13" s="2"/>
      <c r="D13" s="2"/>
      <c r="F13" s="1"/>
    </row>
    <row r="14" spans="1:6" x14ac:dyDescent="0.2">
      <c r="A14" s="2">
        <v>6</v>
      </c>
      <c r="B14" s="2">
        <v>100</v>
      </c>
      <c r="C14" s="2"/>
      <c r="D14" s="2"/>
      <c r="F14" s="1"/>
    </row>
    <row r="15" spans="1:6" x14ac:dyDescent="0.2">
      <c r="A15" s="2">
        <v>8</v>
      </c>
      <c r="B15" s="2">
        <v>100</v>
      </c>
      <c r="C15" s="2"/>
      <c r="D15" s="2"/>
      <c r="F15" s="1"/>
    </row>
    <row r="16" spans="1:6" x14ac:dyDescent="0.2">
      <c r="A16" s="2">
        <v>10</v>
      </c>
      <c r="B16" s="2">
        <v>200</v>
      </c>
      <c r="C16" s="2"/>
      <c r="D16" s="2"/>
    </row>
    <row r="17" spans="1:4" x14ac:dyDescent="0.2">
      <c r="A17" s="2">
        <v>12</v>
      </c>
      <c r="B17" s="2">
        <v>200</v>
      </c>
      <c r="C17" s="2"/>
      <c r="D17" s="2"/>
    </row>
    <row r="18" spans="1:4" x14ac:dyDescent="0.2">
      <c r="A18" s="2">
        <v>14</v>
      </c>
      <c r="B18" s="2">
        <v>200</v>
      </c>
      <c r="C18" s="2"/>
      <c r="D18" s="2"/>
    </row>
    <row r="19" spans="1:4" x14ac:dyDescent="0.2">
      <c r="A19" s="2">
        <v>16</v>
      </c>
      <c r="B19" s="2">
        <v>300</v>
      </c>
      <c r="C19" s="2"/>
      <c r="D19" s="2"/>
    </row>
    <row r="20" spans="1:4" x14ac:dyDescent="0.2">
      <c r="A20" s="2">
        <v>18</v>
      </c>
      <c r="B20" s="2">
        <v>300</v>
      </c>
      <c r="C20" s="2"/>
      <c r="D20" s="2"/>
    </row>
    <row r="21" spans="1:4" x14ac:dyDescent="0.2">
      <c r="A21" s="2">
        <v>20</v>
      </c>
      <c r="B21" s="2">
        <v>350</v>
      </c>
      <c r="C21" s="2"/>
      <c r="D21" s="2"/>
    </row>
    <row r="22" spans="1:4" x14ac:dyDescent="0.2">
      <c r="A22" s="2">
        <v>22</v>
      </c>
      <c r="B22" s="2">
        <v>350</v>
      </c>
      <c r="C22" s="2"/>
      <c r="D22" s="2"/>
    </row>
    <row r="23" spans="1:4" x14ac:dyDescent="0.2">
      <c r="A23" s="2">
        <v>24</v>
      </c>
      <c r="B23" s="2">
        <v>350</v>
      </c>
      <c r="C23" s="2"/>
      <c r="D23" s="2"/>
    </row>
    <row r="24" spans="1:4" x14ac:dyDescent="0.2">
      <c r="A24" s="2">
        <v>26</v>
      </c>
      <c r="B24" s="2">
        <v>350</v>
      </c>
      <c r="C24" s="2"/>
      <c r="D24" s="2"/>
    </row>
    <row r="25" spans="1:4" x14ac:dyDescent="0.2">
      <c r="A25" s="2">
        <v>28</v>
      </c>
      <c r="B25" s="2">
        <v>350</v>
      </c>
      <c r="C25" s="2"/>
      <c r="D25" s="2"/>
    </row>
    <row r="26" spans="1:4" x14ac:dyDescent="0.2">
      <c r="A26" s="2">
        <v>30</v>
      </c>
      <c r="B26" s="2">
        <v>350</v>
      </c>
      <c r="C26" s="2"/>
      <c r="D26" s="2"/>
    </row>
    <row r="27" spans="1:4" x14ac:dyDescent="0.2">
      <c r="A27" s="2">
        <v>32</v>
      </c>
      <c r="B27" s="2">
        <v>350</v>
      </c>
      <c r="C27" s="2"/>
      <c r="D27" s="2"/>
    </row>
    <row r="28" spans="1:4" x14ac:dyDescent="0.2">
      <c r="A28" s="2">
        <v>34</v>
      </c>
      <c r="B28" s="2">
        <v>350</v>
      </c>
      <c r="C28" s="2"/>
      <c r="D28" s="2"/>
    </row>
    <row r="29" spans="1:4" x14ac:dyDescent="0.2">
      <c r="A29" s="2">
        <v>36</v>
      </c>
      <c r="B29" s="2">
        <v>500</v>
      </c>
      <c r="C29" s="2"/>
      <c r="D29" s="2"/>
    </row>
    <row r="30" spans="1:4" x14ac:dyDescent="0.2">
      <c r="A30" s="2">
        <v>38</v>
      </c>
      <c r="B30" s="2">
        <v>500</v>
      </c>
      <c r="C30" s="2"/>
      <c r="D30" s="2"/>
    </row>
    <row r="31" spans="1:4" x14ac:dyDescent="0.2">
      <c r="A31" s="2">
        <v>40</v>
      </c>
      <c r="B31" s="2">
        <v>500</v>
      </c>
      <c r="C31" s="2"/>
      <c r="D31" s="2"/>
    </row>
    <row r="32" spans="1:4" x14ac:dyDescent="0.2">
      <c r="A32" s="2">
        <v>42</v>
      </c>
      <c r="B32" s="2">
        <v>500</v>
      </c>
      <c r="C32" s="2"/>
      <c r="D32" s="2"/>
    </row>
    <row r="33" spans="1:8" x14ac:dyDescent="0.2">
      <c r="A33" s="2">
        <v>44</v>
      </c>
      <c r="B33" s="2">
        <v>500</v>
      </c>
      <c r="C33" s="2"/>
      <c r="D33" s="2"/>
    </row>
    <row r="34" spans="1:8" x14ac:dyDescent="0.2">
      <c r="A34" s="2">
        <v>46</v>
      </c>
      <c r="B34" s="2">
        <v>500</v>
      </c>
      <c r="C34" s="2"/>
      <c r="D34" s="2"/>
    </row>
    <row r="35" spans="1:8" x14ac:dyDescent="0.2">
      <c r="A35" s="2">
        <v>48</v>
      </c>
      <c r="B35" s="2">
        <v>500</v>
      </c>
      <c r="C35" s="2"/>
      <c r="D35" s="2"/>
    </row>
    <row r="36" spans="1:8" x14ac:dyDescent="0.2">
      <c r="A36" s="2">
        <v>50</v>
      </c>
      <c r="B36" s="2">
        <v>500</v>
      </c>
      <c r="C36" s="2"/>
      <c r="D36" s="2"/>
    </row>
    <row r="37" spans="1:8" x14ac:dyDescent="0.2">
      <c r="A37" s="2">
        <v>52</v>
      </c>
      <c r="B37" s="2">
        <v>500</v>
      </c>
      <c r="C37" s="2"/>
      <c r="D37" s="2"/>
    </row>
    <row r="38" spans="1:8" x14ac:dyDescent="0.2">
      <c r="A38" s="2">
        <v>54</v>
      </c>
      <c r="B38" s="2">
        <v>500</v>
      </c>
      <c r="C38" s="2"/>
      <c r="D38" s="2"/>
    </row>
    <row r="39" spans="1:8" x14ac:dyDescent="0.2">
      <c r="A39" s="2">
        <v>56</v>
      </c>
      <c r="B39" s="2">
        <v>500</v>
      </c>
      <c r="C39" s="2"/>
      <c r="D39" s="2"/>
      <c r="F39" s="11"/>
    </row>
    <row r="40" spans="1:8" x14ac:dyDescent="0.2">
      <c r="A40" s="2">
        <v>58</v>
      </c>
      <c r="B40" s="2">
        <v>500</v>
      </c>
      <c r="C40" s="2"/>
      <c r="D40" s="2"/>
    </row>
    <row r="41" spans="1:8" x14ac:dyDescent="0.2">
      <c r="A41" s="2">
        <v>60</v>
      </c>
      <c r="B41" s="2">
        <v>500</v>
      </c>
      <c r="C41" s="2">
        <v>340</v>
      </c>
      <c r="D41" s="2"/>
    </row>
    <row r="42" spans="1:8" x14ac:dyDescent="0.2">
      <c r="A42" s="2">
        <v>62</v>
      </c>
      <c r="B42" s="2">
        <v>500</v>
      </c>
      <c r="C42" s="2">
        <v>383</v>
      </c>
      <c r="D42" s="2"/>
    </row>
    <row r="43" spans="1:8" x14ac:dyDescent="0.2">
      <c r="A43" s="2">
        <v>64</v>
      </c>
      <c r="B43" s="2">
        <v>500</v>
      </c>
      <c r="C43" s="2">
        <v>417</v>
      </c>
      <c r="D43" s="7" t="s">
        <v>25</v>
      </c>
    </row>
    <row r="44" spans="1:8" x14ac:dyDescent="0.2">
      <c r="A44" s="2">
        <v>66</v>
      </c>
      <c r="B44" s="2">
        <v>500</v>
      </c>
      <c r="C44" s="2">
        <v>514</v>
      </c>
      <c r="D44" s="7" t="s">
        <v>25</v>
      </c>
    </row>
    <row r="45" spans="1:8" x14ac:dyDescent="0.2">
      <c r="A45" s="2">
        <v>68</v>
      </c>
      <c r="B45" s="2">
        <v>500</v>
      </c>
      <c r="C45" s="2">
        <v>548</v>
      </c>
      <c r="D45" s="7"/>
      <c r="H45" s="11"/>
    </row>
    <row r="46" spans="1:8" x14ac:dyDescent="0.2">
      <c r="A46" s="2">
        <v>70</v>
      </c>
      <c r="B46" s="2">
        <v>500</v>
      </c>
      <c r="C46" s="2">
        <v>563</v>
      </c>
      <c r="D46" s="7" t="s">
        <v>10</v>
      </c>
    </row>
    <row r="47" spans="1:8" x14ac:dyDescent="0.2">
      <c r="A47" s="2">
        <v>72</v>
      </c>
      <c r="B47" s="2">
        <v>500</v>
      </c>
      <c r="C47" s="2">
        <v>570</v>
      </c>
      <c r="D47" s="7" t="s">
        <v>10</v>
      </c>
    </row>
    <row r="48" spans="1:8" x14ac:dyDescent="0.2">
      <c r="A48" s="2">
        <v>74</v>
      </c>
      <c r="B48" s="2">
        <v>500</v>
      </c>
      <c r="C48" s="2">
        <v>744</v>
      </c>
      <c r="D48" s="7" t="s">
        <v>10</v>
      </c>
    </row>
    <row r="49" spans="1:4" x14ac:dyDescent="0.2">
      <c r="A49" s="2">
        <v>76</v>
      </c>
      <c r="B49" s="2">
        <v>500</v>
      </c>
      <c r="C49" s="2">
        <v>803</v>
      </c>
      <c r="D49" s="7" t="s">
        <v>10</v>
      </c>
    </row>
    <row r="50" spans="1:4" x14ac:dyDescent="0.2">
      <c r="A50" s="2">
        <v>78</v>
      </c>
      <c r="B50" s="2">
        <v>500</v>
      </c>
      <c r="C50" s="2">
        <v>837</v>
      </c>
      <c r="D50" s="7" t="s">
        <v>10</v>
      </c>
    </row>
    <row r="51" spans="1:4" x14ac:dyDescent="0.2">
      <c r="A51" s="2">
        <v>80</v>
      </c>
      <c r="B51" s="2">
        <v>500</v>
      </c>
      <c r="C51" s="2">
        <v>869</v>
      </c>
      <c r="D51" s="7"/>
    </row>
    <row r="52" spans="1:4" x14ac:dyDescent="0.2">
      <c r="A52" s="2">
        <v>82</v>
      </c>
      <c r="B52" s="2">
        <v>500</v>
      </c>
      <c r="C52" s="2">
        <v>892</v>
      </c>
      <c r="D52" s="2"/>
    </row>
    <row r="53" spans="1:4" x14ac:dyDescent="0.2">
      <c r="A53" s="2">
        <v>84</v>
      </c>
      <c r="B53" s="2">
        <v>500</v>
      </c>
      <c r="C53" s="2">
        <v>912</v>
      </c>
      <c r="D53" s="2"/>
    </row>
    <row r="54" spans="1:4" x14ac:dyDescent="0.2">
      <c r="A54" s="2">
        <v>86</v>
      </c>
      <c r="B54" s="2">
        <v>500</v>
      </c>
      <c r="C54" s="2">
        <v>938</v>
      </c>
      <c r="D54" s="2"/>
    </row>
    <row r="55" spans="1:4" x14ac:dyDescent="0.2">
      <c r="A55" s="2">
        <v>88</v>
      </c>
      <c r="B55" s="2">
        <v>500</v>
      </c>
      <c r="C55" s="2">
        <v>950</v>
      </c>
      <c r="D55" s="2" t="s">
        <v>9</v>
      </c>
    </row>
    <row r="56" spans="1:4" x14ac:dyDescent="0.2">
      <c r="A56" s="4"/>
    </row>
  </sheetData>
  <mergeCells count="1">
    <mergeCell ref="D1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450_1</vt:lpstr>
      <vt:lpstr>450_2</vt:lpstr>
      <vt:lpstr>450_3</vt:lpstr>
      <vt:lpstr>450_4</vt:lpstr>
      <vt:lpstr>Summary</vt:lpstr>
      <vt:lpstr>450_5</vt:lpstr>
      <vt:lpstr>450_6</vt:lpstr>
      <vt:lpstr>475_1</vt:lpstr>
      <vt:lpstr>475_2</vt:lpstr>
      <vt:lpstr>500_1</vt:lpstr>
      <vt:lpstr>500_2</vt:lpstr>
      <vt:lpstr>500_3</vt:lpstr>
      <vt:lpstr>500_4</vt:lpstr>
      <vt:lpstr>500_5</vt:lpstr>
      <vt:lpstr>550_1</vt:lpstr>
      <vt:lpstr>550_2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Kraiwitch Pawadee</dc:creator>
  <cp:lastModifiedBy>Kraiwitch Pawadee</cp:lastModifiedBy>
  <dcterms:created xsi:type="dcterms:W3CDTF">2025-10-15T09:56:53Z</dcterms:created>
  <dcterms:modified xsi:type="dcterms:W3CDTF">2025-11-21T03:11:05Z</dcterms:modified>
</cp:coreProperties>
</file>